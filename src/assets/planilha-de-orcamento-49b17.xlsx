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1 - Clientes\Claiton Gasparetto Filho\Orçamento\Rev.2\"/>
    </mc:Choice>
  </mc:AlternateContent>
  <xr:revisionPtr revIDLastSave="0" documentId="13_ncr:1_{F117019F-AFC4-45ED-9B07-3BB8BFF26E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çamento" sheetId="1" r:id="rId1"/>
    <sheet name="Base" sheetId="2" r:id="rId2"/>
  </sheets>
  <definedNames>
    <definedName name="PerdaPot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G11" i="1"/>
  <c r="E3" i="1"/>
  <c r="G10" i="1" s="1"/>
  <c r="AR2" i="2"/>
  <c r="AQ2" i="2"/>
  <c r="AX2" i="2"/>
  <c r="AW2" i="2"/>
  <c r="AV2" i="2"/>
  <c r="AU2" i="2"/>
  <c r="AT2" i="2"/>
  <c r="AP2" i="2"/>
  <c r="Y2" i="2"/>
  <c r="X2" i="2"/>
  <c r="W2" i="2"/>
  <c r="V2" i="2"/>
  <c r="U2" i="2"/>
  <c r="T2" i="2"/>
  <c r="S2" i="2"/>
  <c r="R2" i="2"/>
  <c r="Q2" i="2"/>
  <c r="P2" i="2"/>
  <c r="O2" i="2"/>
  <c r="N2" i="2"/>
  <c r="I2" i="2"/>
  <c r="H2" i="2"/>
  <c r="F2" i="2" l="1"/>
  <c r="E2" i="2"/>
  <c r="D2" i="2"/>
  <c r="B2" i="2"/>
  <c r="A2" i="2"/>
  <c r="R14" i="1" l="1"/>
  <c r="C2" i="2" s="1"/>
  <c r="V52" i="1"/>
  <c r="V53" i="1" s="1"/>
  <c r="AF23" i="1"/>
  <c r="AD23" i="1"/>
  <c r="W23" i="1"/>
  <c r="V23" i="1"/>
  <c r="E5" i="1"/>
  <c r="M5" i="1"/>
  <c r="M4" i="1"/>
  <c r="G5" i="1" l="1"/>
  <c r="M3" i="1"/>
  <c r="G9" i="1" s="1"/>
  <c r="E4" i="1"/>
  <c r="G4" i="1" s="1"/>
  <c r="B32" i="1" l="1"/>
  <c r="B42" i="1"/>
  <c r="AO2" i="2" l="1"/>
  <c r="B33" i="1"/>
  <c r="K2" i="2" s="1"/>
  <c r="G2" i="2"/>
  <c r="B31" i="1"/>
  <c r="J2" i="2" s="1"/>
  <c r="B35" i="1"/>
  <c r="B48" i="1" s="1"/>
  <c r="AJ2" i="2" s="1"/>
  <c r="B49" i="1" l="1"/>
  <c r="B50" i="1"/>
  <c r="M2" i="2"/>
  <c r="Z3" i="1"/>
  <c r="Z32" i="1"/>
  <c r="B36" i="1"/>
  <c r="L2" i="2" s="1"/>
  <c r="B37" i="1" l="1"/>
  <c r="B38" i="1"/>
  <c r="AA2" i="2" s="1"/>
  <c r="Z33" i="1"/>
  <c r="Z34" i="1" s="1"/>
  <c r="Z35" i="1" s="1"/>
  <c r="Z36" i="1" s="1"/>
  <c r="Z37" i="1" s="1"/>
  <c r="Z4" i="1"/>
  <c r="Z5" i="1" s="1"/>
  <c r="Z6" i="1" s="1"/>
  <c r="Z7" i="1" s="1"/>
  <c r="Z8" i="1" s="1"/>
  <c r="Z2" i="2" l="1"/>
  <c r="D43" i="1"/>
  <c r="Z9" i="1"/>
  <c r="Z10" i="1" s="1"/>
  <c r="Z11" i="1" s="1"/>
  <c r="Z12" i="1" s="1"/>
  <c r="Z13" i="1" s="1"/>
  <c r="B39" i="1"/>
  <c r="AB2" i="2" s="1"/>
  <c r="Z38" i="1"/>
  <c r="Z39" i="1" s="1"/>
  <c r="Z40" i="1" s="1"/>
  <c r="Z41" i="1" s="1"/>
  <c r="Z42" i="1" s="1"/>
  <c r="Z14" i="1" l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B41" i="1" s="1"/>
  <c r="AD2" i="2" s="1"/>
  <c r="B40" i="1"/>
  <c r="AC2" i="2" s="1"/>
  <c r="Z43" i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AE2" i="2"/>
  <c r="AF2" i="2"/>
  <c r="AG2" i="2"/>
  <c r="AH2" i="2"/>
  <c r="AI2" i="2"/>
  <c r="AK2" i="2"/>
  <c r="AL2" i="2"/>
  <c r="AM2" i="2"/>
  <c r="AN2" i="2"/>
  <c r="AS2" i="2"/>
  <c r="AA3" i="1"/>
  <c r="AA4" i="1"/>
  <c r="AA5" i="1"/>
  <c r="AA6" i="1"/>
  <c r="AA7" i="1"/>
  <c r="AA8" i="1"/>
  <c r="B9" i="1"/>
  <c r="AA9" i="1"/>
  <c r="AA10" i="1"/>
  <c r="AA11" i="1"/>
  <c r="B12" i="1"/>
  <c r="AA12" i="1"/>
  <c r="B13" i="1"/>
  <c r="AA13" i="1"/>
  <c r="B14" i="1"/>
  <c r="AA14" i="1"/>
  <c r="B15" i="1"/>
  <c r="H15" i="1"/>
  <c r="R15" i="1"/>
  <c r="AA15" i="1"/>
  <c r="B16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32" i="1"/>
  <c r="AA33" i="1"/>
  <c r="B34" i="1"/>
  <c r="D34" i="1"/>
  <c r="AA34" i="1"/>
  <c r="D35" i="1"/>
  <c r="AA35" i="1"/>
  <c r="D36" i="1"/>
  <c r="AA36" i="1"/>
  <c r="F37" i="1"/>
  <c r="AA37" i="1"/>
  <c r="AA38" i="1"/>
  <c r="AA39" i="1"/>
  <c r="AA40" i="1"/>
  <c r="AA41" i="1"/>
  <c r="AA42" i="1"/>
  <c r="B43" i="1"/>
  <c r="AA43" i="1"/>
  <c r="B44" i="1"/>
  <c r="AA44" i="1"/>
  <c r="B45" i="1"/>
  <c r="AA45" i="1"/>
  <c r="B46" i="1"/>
  <c r="AA46" i="1"/>
  <c r="B47" i="1"/>
  <c r="AA47" i="1"/>
  <c r="AA48" i="1"/>
  <c r="AA49" i="1"/>
  <c r="AA50" i="1"/>
  <c r="AA51" i="1"/>
  <c r="AA52" i="1"/>
  <c r="AA53" i="1"/>
  <c r="AA54" i="1"/>
  <c r="AA55" i="1"/>
  <c r="AA56" i="1"/>
  <c r="AA57" i="1"/>
</calcChain>
</file>

<file path=xl/sharedStrings.xml><?xml version="1.0" encoding="utf-8"?>
<sst xmlns="http://schemas.openxmlformats.org/spreadsheetml/2006/main" count="287" uniqueCount="209">
  <si>
    <t>Formação de Preço</t>
  </si>
  <si>
    <t>MATERIAIS Kit Fotovoltaico</t>
  </si>
  <si>
    <t>Empresa</t>
  </si>
  <si>
    <t>Potência</t>
  </si>
  <si>
    <t>R$</t>
  </si>
  <si>
    <t>R$/kW</t>
  </si>
  <si>
    <t>Placas</t>
  </si>
  <si>
    <t>Pot. Placas</t>
  </si>
  <si>
    <t>Estrutura</t>
  </si>
  <si>
    <t>Orientação</t>
  </si>
  <si>
    <t>Geração. SOLergo Anual (kWh)</t>
  </si>
  <si>
    <t>Geração. SOLergo Mensal (kWh)</t>
  </si>
  <si>
    <t>MÃO DE OBRA INSTALAÇÃO</t>
  </si>
  <si>
    <t>MATERIAIS EXTRAS - INSTALAÇÃO</t>
  </si>
  <si>
    <t>FRETE + GUINCHO</t>
  </si>
  <si>
    <t>Geração Solergo Mensal</t>
  </si>
  <si>
    <t>SATAPAS DE CONCRETO</t>
  </si>
  <si>
    <t>Potencia do sistema</t>
  </si>
  <si>
    <t>Numero de placas</t>
  </si>
  <si>
    <t>SUBESTAÇÃO DE ENERGIA</t>
  </si>
  <si>
    <t>TERCEIRIZAÇÃO DE SERVIÇOS</t>
  </si>
  <si>
    <t>RISCO DE ENGENHARIA</t>
  </si>
  <si>
    <t>IMPOSTOS</t>
  </si>
  <si>
    <t>TOTAL DO PROJETO</t>
  </si>
  <si>
    <t>R$ / KW</t>
  </si>
  <si>
    <t>Ano</t>
  </si>
  <si>
    <t>Residencial</t>
  </si>
  <si>
    <t>Potência do Sistema (kwp)</t>
  </si>
  <si>
    <t>Numero de Placas</t>
  </si>
  <si>
    <t>Valor a vista</t>
  </si>
  <si>
    <t>Geração em Kwh/mês</t>
  </si>
  <si>
    <t>Economia em 1 anos</t>
  </si>
  <si>
    <t>Economia em 5 anos</t>
  </si>
  <si>
    <t>Economia em 10 anos</t>
  </si>
  <si>
    <t>ADMINISTRAÇÃO</t>
  </si>
  <si>
    <t>IBS</t>
  </si>
  <si>
    <t>Maxsul</t>
  </si>
  <si>
    <t>Fibro</t>
  </si>
  <si>
    <t>OIW</t>
  </si>
  <si>
    <t>Mês</t>
  </si>
  <si>
    <t>Janeiro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</si>
  <si>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</si>
  <si>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</si>
  <si>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</si>
  <si>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</si>
  <si>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</si>
  <si>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</si>
  <si>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</si>
  <si>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</si>
  <si>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</si>
  <si>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Area total</t>
  </si>
  <si>
    <t>30%</t>
  </si>
  <si>
    <t>GD Eco Líquida (R$/kWh)</t>
  </si>
  <si>
    <t>FS</t>
  </si>
  <si>
    <t>FioB (R$/kWh)</t>
  </si>
  <si>
    <t>Tarifa (R$/kWh)</t>
  </si>
  <si>
    <t>70%</t>
  </si>
  <si>
    <t>Representante comercial</t>
  </si>
  <si>
    <t>Tipo de cliente</t>
  </si>
  <si>
    <t>Comercial</t>
  </si>
  <si>
    <t>Grupo A</t>
  </si>
  <si>
    <t>Kwh</t>
  </si>
  <si>
    <t>Potência Remanescente (%)</t>
  </si>
  <si>
    <t>Degradação Anual (%)</t>
  </si>
  <si>
    <t>Perda Acumulada (%)</t>
  </si>
  <si>
    <t>Observação</t>
  </si>
  <si>
    <t>0</t>
  </si>
  <si>
    <t>100.00%</t>
  </si>
  <si>
    <t>—</t>
  </si>
  <si>
    <t>Início da operação</t>
  </si>
  <si>
    <t>1</t>
  </si>
  <si>
    <t>98.00%</t>
  </si>
  <si>
    <t>2.00%</t>
  </si>
  <si>
    <t>LID - Light Induced Degradation</t>
  </si>
  <si>
    <t>2</t>
  </si>
  <si>
    <t>97.45%</t>
  </si>
  <si>
    <t>0.55%</t>
  </si>
  <si>
    <t>2.55%</t>
  </si>
  <si>
    <t>Degradação linear</t>
  </si>
  <si>
    <t>3</t>
  </si>
  <si>
    <t>96.90%</t>
  </si>
  <si>
    <t>3.10%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</si>
  <si>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</si>
  <si>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</si>
  <si>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</si>
  <si>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</si>
  <si>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</si>
  <si>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</si>
  <si>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</si>
  <si>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</si>
  <si>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</si>
  <si>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</si>
  <si>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</si>
  <si>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</si>
  <si>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</si>
  <si>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</si>
  <si>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</si>
  <si>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</si>
  <si>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</si>
  <si>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</si>
  <si>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</si>
  <si>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</si>
  <si>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</si>
  <si>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84.80%</t>
  </si>
  <si>
    <t>15.20%</t>
  </si>
  <si>
    <t>Fim da garantia linear (≥80% exigido)</t>
  </si>
  <si>
    <t>▶ RESUMO</t>
  </si>
  <si>
    <t>Potência no Ano 25</t>
  </si>
  <si>
    <t>Degradação Média Anual (excluindo Ano 1)</t>
  </si>
  <si>
    <t>Perda Total Acumulada em 25 anos</t>
  </si>
  <si>
    <t>Vida Útil Estimada (até 80%)</t>
  </si>
  <si>
    <t>~26.3 anos</t>
  </si>
  <si>
    <t>Taxa mensal de juros</t>
  </si>
  <si>
    <t>Número de parcelas</t>
  </si>
  <si>
    <t>IOF total</t>
  </si>
  <si>
    <t>Banco 1</t>
  </si>
  <si>
    <t>Banco 2</t>
  </si>
  <si>
    <t>Valor da conta daqui a 10 anos (reajuste 9%)</t>
  </si>
  <si>
    <t>Valor da conta daqui a 4 anos (reajuste 9%)</t>
  </si>
  <si>
    <t>Retorno do investimento</t>
  </si>
  <si>
    <t>Data da proposta</t>
  </si>
  <si>
    <t>Nome do Cliente</t>
  </si>
  <si>
    <t>Descrição Painéis solares</t>
  </si>
  <si>
    <t>Descrição Inversor</t>
  </si>
  <si>
    <t>NOME_CLIENTE</t>
  </si>
  <si>
    <t>NOME_REPRESENTANTE</t>
  </si>
  <si>
    <t>CONTATO_REPRESENTANTE</t>
  </si>
  <si>
    <t>Contato Representate</t>
  </si>
  <si>
    <t>Economia em 1 mês</t>
  </si>
  <si>
    <t>Economia em 25 anos</t>
  </si>
  <si>
    <t>Classe do Cliente</t>
  </si>
  <si>
    <t>COMISSÃO</t>
  </si>
  <si>
    <t>INDICAÇÃO</t>
  </si>
  <si>
    <t>Valor gasto em um mes com RGE</t>
  </si>
  <si>
    <t>Valor gasto em 1 ano com RGE sem PV</t>
  </si>
  <si>
    <t>Valor gasto em 5 anos com RGE sem PV</t>
  </si>
  <si>
    <t>Valor gasto em 10 anos com RGE sem PV</t>
  </si>
  <si>
    <t>Valor gasto em 25 anos com RGE sem PV</t>
  </si>
  <si>
    <t>Representantes</t>
  </si>
  <si>
    <t>João Victor Bagetti Fuchs</t>
  </si>
  <si>
    <t>Daniel Rotava</t>
  </si>
  <si>
    <t>54 98110 8228</t>
  </si>
  <si>
    <t>54 99646 8910</t>
  </si>
  <si>
    <t>Gasto acum.</t>
  </si>
  <si>
    <t>Economia Acum.</t>
  </si>
  <si>
    <t>Valor da conta no primeiro mês após instalar</t>
  </si>
  <si>
    <t>Data_Proposta</t>
  </si>
  <si>
    <t>Descricao_paineis</t>
  </si>
  <si>
    <t>descricao_inversores</t>
  </si>
  <si>
    <t>QTD_Paineis</t>
  </si>
  <si>
    <t>QTD_Inversores</t>
  </si>
  <si>
    <t>Estrutura_Fix</t>
  </si>
  <si>
    <t>Potencia</t>
  </si>
  <si>
    <t>Area</t>
  </si>
  <si>
    <t>Producao_anual</t>
  </si>
  <si>
    <t>Producao_mensal</t>
  </si>
  <si>
    <t>Dezembro</t>
  </si>
  <si>
    <t>Cresol</t>
  </si>
  <si>
    <t>Caixa</t>
  </si>
  <si>
    <t>Geração anual estimada (kwh)</t>
  </si>
  <si>
    <t>Relação de orçamentos de materiais</t>
  </si>
  <si>
    <t>MKT, Combustível</t>
  </si>
  <si>
    <t>Desconto</t>
  </si>
  <si>
    <t>Consumo Atual do Cliente</t>
  </si>
  <si>
    <t>Fevereiro</t>
  </si>
  <si>
    <t>Economiaem1mes</t>
  </si>
  <si>
    <t>Economiaem1anos</t>
  </si>
  <si>
    <t>Economiaem5anos</t>
  </si>
  <si>
    <t>Economiaem10anos</t>
  </si>
  <si>
    <t>Economiaem25anos</t>
  </si>
  <si>
    <t>Valorgastoem1ano</t>
  </si>
  <si>
    <t>Valorgasto5anos</t>
  </si>
  <si>
    <t>Valorgasto10anos</t>
  </si>
  <si>
    <t>Valorgastoem25anos</t>
  </si>
  <si>
    <t>Retornodoinvestimento</t>
  </si>
  <si>
    <t>Valor_total</t>
  </si>
  <si>
    <t>Payback</t>
  </si>
  <si>
    <t>ParcelaB1</t>
  </si>
  <si>
    <t>ParcelaB2</t>
  </si>
  <si>
    <t>Contahoje</t>
  </si>
  <si>
    <t>Nparcelas</t>
  </si>
  <si>
    <t>GarantiaPaineis</t>
  </si>
  <si>
    <t>Garantiainversor</t>
  </si>
  <si>
    <t>garantiadesenpenho</t>
  </si>
  <si>
    <t>Código FINAME</t>
  </si>
  <si>
    <t>Garantia Painéis</t>
  </si>
  <si>
    <t>Garantia Inversor</t>
  </si>
  <si>
    <t>Garantia de eficiência</t>
  </si>
  <si>
    <t>CodFiname</t>
  </si>
  <si>
    <t>desempenho</t>
  </si>
  <si>
    <t>Quantidade de inversores</t>
  </si>
  <si>
    <t>Estruturas de fixação</t>
  </si>
  <si>
    <t>Tempo garantia Eficiência</t>
  </si>
  <si>
    <t>-</t>
  </si>
  <si>
    <t>Cartão de credito</t>
  </si>
  <si>
    <t>Parcelas</t>
  </si>
  <si>
    <t>Com imposto produto</t>
  </si>
  <si>
    <t>Stone</t>
  </si>
  <si>
    <t>Contacomsolar</t>
  </si>
  <si>
    <t>nparcelascartao</t>
  </si>
  <si>
    <t>juroscartao</t>
  </si>
  <si>
    <t>valorparcelacartao</t>
  </si>
  <si>
    <t>Oeste</t>
  </si>
  <si>
    <t>Claiton Gasparetto Filho</t>
  </si>
  <si>
    <t>Mini trilho</t>
  </si>
  <si>
    <t>20 de agosto de 2026</t>
  </si>
  <si>
    <t>Tsuness, 2.5K</t>
  </si>
  <si>
    <t>Estruturas para mini trilho</t>
  </si>
  <si>
    <t>Placas fotovoltaicas Luxen 625w - Bifacial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</si>
</sst>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#,##0.0"/>
    <numFmt numFmtId="166" formatCode="_-&quot;R$&quot;\ * #,##0.00_-;\-&quot;R$&quot;\ * #,##0.00_-;_-&quot;R$&quot;\ * &quot;-&quot;??_-;_-@"/>
    <numFmt numFmtId="167" formatCode="0.000"/>
    <numFmt numFmtId="168" formatCode="0.0%"/>
    <numFmt numFmtId="169" formatCode="&quot;R$&quot;\ #,##0.00"/>
  </numFmts>
  <fonts count="19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FFFFFF"/>
      <name val="Verdana"/>
      <family val="2"/>
    </font>
    <font>
      <sz val="9"/>
      <color theme="1"/>
      <name val="Verdana"/>
      <family val="2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Arial Unicode MS"/>
    </font>
    <font>
      <sz val="11"/>
      <color theme="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A4C2F4"/>
        <bgColor rgb="FFA4C2F4"/>
      </patternFill>
    </fill>
    <fill>
      <patternFill patternType="solid">
        <fgColor rgb="FFE5B8B7"/>
        <bgColor rgb="FFE5B8B7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4A6F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FF0000"/>
      </patternFill>
    </fill>
    <fill>
      <patternFill patternType="solid">
        <fgColor rgb="FF92D050"/>
        <bgColor rgb="FF00B050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CC8DC"/>
      </left>
      <right style="thin">
        <color rgb="FFBCC8DC"/>
      </right>
      <top style="thin">
        <color rgb="FFBCC8DC"/>
      </top>
      <bottom style="thin">
        <color rgb="FFBCC8D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D1B2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4"/>
  </cellStyleXfs>
  <cellXfs count="149">
    <xf numFmtId="0" fontId="0" fillId="0" borderId="0" xfId="0"/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9" borderId="0" xfId="0" applyFont="1" applyFill="1"/>
    <xf numFmtId="4" fontId="2" fillId="9" borderId="0" xfId="0" applyNumberFormat="1" applyFont="1" applyFill="1"/>
    <xf numFmtId="4" fontId="3" fillId="0" borderId="0" xfId="0" applyNumberFormat="1" applyFont="1"/>
    <xf numFmtId="164" fontId="3" fillId="0" borderId="0" xfId="0" applyNumberFormat="1" applyFont="1"/>
    <xf numFmtId="0" fontId="6" fillId="0" borderId="0" xfId="0" applyFont="1"/>
    <xf numFmtId="0" fontId="8" fillId="0" borderId="0" xfId="0" applyFont="1"/>
    <xf numFmtId="43" fontId="3" fillId="0" borderId="0" xfId="0" applyNumberFormat="1" applyFont="1"/>
    <xf numFmtId="44" fontId="3" fillId="0" borderId="0" xfId="1" applyFont="1"/>
    <xf numFmtId="8" fontId="3" fillId="0" borderId="0" xfId="0" applyNumberFormat="1" applyFont="1"/>
    <xf numFmtId="44" fontId="3" fillId="0" borderId="0" xfId="0" applyNumberFormat="1" applyFont="1"/>
    <xf numFmtId="44" fontId="3" fillId="0" borderId="4" xfId="1" applyFont="1" applyFill="1" applyBorder="1"/>
    <xf numFmtId="8" fontId="8" fillId="0" borderId="4" xfId="1" applyNumberFormat="1" applyFont="1" applyFill="1" applyBorder="1"/>
    <xf numFmtId="0" fontId="8" fillId="13" borderId="6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8" fontId="3" fillId="13" borderId="6" xfId="0" applyNumberFormat="1" applyFont="1" applyFill="1" applyBorder="1" applyAlignment="1">
      <alignment horizontal="center"/>
    </xf>
    <xf numFmtId="2" fontId="3" fillId="13" borderId="6" xfId="0" applyNumberFormat="1" applyFont="1" applyFill="1" applyBorder="1" applyAlignment="1">
      <alignment horizontal="center"/>
    </xf>
    <xf numFmtId="165" fontId="3" fillId="13" borderId="6" xfId="0" applyNumberFormat="1" applyFont="1" applyFill="1" applyBorder="1" applyAlignment="1">
      <alignment horizontal="center"/>
    </xf>
    <xf numFmtId="4" fontId="3" fillId="13" borderId="6" xfId="0" applyNumberFormat="1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2" fontId="3" fillId="12" borderId="5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8" fontId="8" fillId="0" borderId="6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2" fontId="3" fillId="14" borderId="5" xfId="0" applyNumberFormat="1" applyFont="1" applyFill="1" applyBorder="1" applyAlignment="1">
      <alignment horizontal="center"/>
    </xf>
    <xf numFmtId="8" fontId="3" fillId="14" borderId="5" xfId="0" applyNumberFormat="1" applyFont="1" applyFill="1" applyBorder="1" applyAlignment="1">
      <alignment horizontal="center"/>
    </xf>
    <xf numFmtId="165" fontId="3" fillId="14" borderId="5" xfId="0" applyNumberFormat="1" applyFont="1" applyFill="1" applyBorder="1" applyAlignment="1">
      <alignment horizontal="center"/>
    </xf>
    <xf numFmtId="4" fontId="3" fillId="14" borderId="5" xfId="0" applyNumberFormat="1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" fillId="16" borderId="7" xfId="3" applyFill="1" applyBorder="1" applyAlignment="1">
      <alignment horizontal="right" vertical="center"/>
    </xf>
    <xf numFmtId="0" fontId="1" fillId="16" borderId="7" xfId="3" applyFill="1" applyBorder="1" applyAlignment="1">
      <alignment horizontal="left" vertical="center"/>
    </xf>
    <xf numFmtId="0" fontId="1" fillId="4" borderId="7" xfId="3" applyFill="1" applyBorder="1" applyAlignment="1">
      <alignment horizontal="right" vertical="center"/>
    </xf>
    <xf numFmtId="0" fontId="1" fillId="4" borderId="7" xfId="3" applyFill="1" applyBorder="1" applyAlignment="1">
      <alignment horizontal="left" vertical="center"/>
    </xf>
    <xf numFmtId="0" fontId="13" fillId="17" borderId="8" xfId="3" applyFont="1" applyFill="1" applyBorder="1" applyAlignment="1">
      <alignment horizontal="center" vertical="center"/>
    </xf>
    <xf numFmtId="4" fontId="3" fillId="12" borderId="6" xfId="0" applyNumberFormat="1" applyFont="1" applyFill="1" applyBorder="1"/>
    <xf numFmtId="3" fontId="2" fillId="9" borderId="0" xfId="0" applyNumberFormat="1" applyFont="1" applyFill="1"/>
    <xf numFmtId="0" fontId="13" fillId="17" borderId="8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left" vertical="center"/>
    </xf>
    <xf numFmtId="0" fontId="0" fillId="16" borderId="7" xfId="0" applyFill="1" applyBorder="1" applyAlignment="1">
      <alignment horizontal="left" vertical="center"/>
    </xf>
    <xf numFmtId="0" fontId="13" fillId="18" borderId="9" xfId="0" applyFont="1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10" fontId="0" fillId="4" borderId="7" xfId="0" applyNumberFormat="1" applyFill="1" applyBorder="1" applyAlignment="1">
      <alignment horizontal="left" vertical="center"/>
    </xf>
    <xf numFmtId="10" fontId="0" fillId="16" borderId="7" xfId="0" applyNumberFormat="1" applyFill="1" applyBorder="1" applyAlignment="1">
      <alignment horizontal="left" vertical="center"/>
    </xf>
    <xf numFmtId="10" fontId="0" fillId="4" borderId="7" xfId="2" applyNumberFormat="1" applyFont="1" applyFill="1" applyBorder="1" applyAlignment="1">
      <alignment horizontal="left" vertical="center"/>
    </xf>
    <xf numFmtId="10" fontId="0" fillId="16" borderId="7" xfId="2" applyNumberFormat="1" applyFont="1" applyFill="1" applyBorder="1" applyAlignment="1">
      <alignment horizontal="left" vertical="center"/>
    </xf>
    <xf numFmtId="0" fontId="14" fillId="0" borderId="0" xfId="0" applyFont="1"/>
    <xf numFmtId="0" fontId="14" fillId="0" borderId="6" xfId="0" applyFont="1" applyBorder="1"/>
    <xf numFmtId="8" fontId="14" fillId="0" borderId="0" xfId="0" applyNumberFormat="1" applyFont="1"/>
    <xf numFmtId="8" fontId="14" fillId="0" borderId="0" xfId="0" quotePrefix="1" applyNumberFormat="1" applyFont="1"/>
    <xf numFmtId="10" fontId="14" fillId="12" borderId="6" xfId="0" applyNumberFormat="1" applyFont="1" applyFill="1" applyBorder="1"/>
    <xf numFmtId="0" fontId="8" fillId="0" borderId="6" xfId="0" applyFont="1" applyBorder="1"/>
    <xf numFmtId="44" fontId="6" fillId="0" borderId="0" xfId="0" applyNumberFormat="1" applyFont="1"/>
    <xf numFmtId="0" fontId="4" fillId="0" borderId="0" xfId="0" applyFont="1"/>
    <xf numFmtId="4" fontId="0" fillId="0" borderId="0" xfId="0" applyNumberFormat="1"/>
    <xf numFmtId="0" fontId="3" fillId="0" borderId="6" xfId="0" applyFont="1" applyBorder="1"/>
    <xf numFmtId="0" fontId="13" fillId="17" borderId="4" xfId="3" applyFont="1" applyFill="1" applyAlignment="1">
      <alignment horizontal="center" vertical="center"/>
    </xf>
    <xf numFmtId="0" fontId="1" fillId="0" borderId="7" xfId="3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10" fontId="0" fillId="0" borderId="7" xfId="0" applyNumberFormat="1" applyBorder="1" applyAlignment="1">
      <alignment horizontal="left" vertical="center"/>
    </xf>
    <xf numFmtId="10" fontId="0" fillId="0" borderId="7" xfId="2" applyNumberFormat="1" applyFont="1" applyFill="1" applyBorder="1" applyAlignment="1">
      <alignment horizontal="left" vertical="center"/>
    </xf>
    <xf numFmtId="167" fontId="1" fillId="4" borderId="7" xfId="3" applyNumberFormat="1" applyFill="1" applyBorder="1" applyAlignment="1">
      <alignment horizontal="right" vertical="center"/>
    </xf>
    <xf numFmtId="167" fontId="1" fillId="16" borderId="7" xfId="3" applyNumberFormat="1" applyFill="1" applyBorder="1" applyAlignment="1">
      <alignment horizontal="right" vertical="center"/>
    </xf>
    <xf numFmtId="167" fontId="1" fillId="0" borderId="7" xfId="3" applyNumberFormat="1" applyBorder="1" applyAlignment="1">
      <alignment horizontal="right" vertical="center"/>
    </xf>
    <xf numFmtId="9" fontId="1" fillId="0" borderId="7" xfId="3" applyNumberFormat="1" applyBorder="1" applyAlignment="1">
      <alignment horizontal="left" vertical="center"/>
    </xf>
    <xf numFmtId="10" fontId="0" fillId="0" borderId="0" xfId="0" applyNumberFormat="1"/>
    <xf numFmtId="44" fontId="1" fillId="4" borderId="6" xfId="1" applyFont="1" applyFill="1" applyBorder="1" applyAlignment="1">
      <alignment horizontal="right" vertical="center"/>
    </xf>
    <xf numFmtId="44" fontId="1" fillId="16" borderId="6" xfId="1" applyFont="1" applyFill="1" applyBorder="1" applyAlignment="1">
      <alignment horizontal="right" vertical="center"/>
    </xf>
    <xf numFmtId="44" fontId="1" fillId="0" borderId="6" xfId="1" applyFont="1" applyFill="1" applyBorder="1" applyAlignment="1">
      <alignment horizontal="right" vertical="center"/>
    </xf>
    <xf numFmtId="44" fontId="0" fillId="0" borderId="0" xfId="0" applyNumberFormat="1"/>
    <xf numFmtId="166" fontId="7" fillId="0" borderId="3" xfId="0" applyNumberFormat="1" applyFont="1" applyBorder="1" applyAlignment="1">
      <alignment horizontal="right"/>
    </xf>
    <xf numFmtId="0" fontId="9" fillId="15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1" fontId="10" fillId="12" borderId="6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3" fillId="0" borderId="4" xfId="0" applyFont="1" applyBorder="1"/>
    <xf numFmtId="0" fontId="3" fillId="12" borderId="6" xfId="0" applyFont="1" applyFill="1" applyBorder="1"/>
    <xf numFmtId="0" fontId="5" fillId="14" borderId="6" xfId="0" applyFont="1" applyFill="1" applyBorder="1"/>
    <xf numFmtId="44" fontId="3" fillId="0" borderId="4" xfId="1" applyFont="1" applyBorder="1"/>
    <xf numFmtId="0" fontId="0" fillId="0" borderId="4" xfId="0" applyBorder="1"/>
    <xf numFmtId="0" fontId="11" fillId="0" borderId="4" xfId="0" applyFont="1" applyBorder="1"/>
    <xf numFmtId="4" fontId="5" fillId="14" borderId="6" xfId="0" applyNumberFormat="1" applyFont="1" applyFill="1" applyBorder="1" applyAlignment="1">
      <alignment horizontal="center"/>
    </xf>
    <xf numFmtId="0" fontId="6" fillId="20" borderId="6" xfId="0" applyFont="1" applyFill="1" applyBorder="1"/>
    <xf numFmtId="0" fontId="15" fillId="19" borderId="6" xfId="0" applyFont="1" applyFill="1" applyBorder="1"/>
    <xf numFmtId="3" fontId="5" fillId="14" borderId="6" xfId="0" applyNumberFormat="1" applyFont="1" applyFill="1" applyBorder="1" applyAlignment="1">
      <alignment horizontal="center"/>
    </xf>
    <xf numFmtId="0" fontId="14" fillId="14" borderId="6" xfId="0" applyFont="1" applyFill="1" applyBorder="1"/>
    <xf numFmtId="0" fontId="16" fillId="0" borderId="0" xfId="0" applyFont="1"/>
    <xf numFmtId="4" fontId="3" fillId="0" borderId="4" xfId="0" applyNumberFormat="1" applyFont="1" applyBorder="1"/>
    <xf numFmtId="8" fontId="3" fillId="0" borderId="4" xfId="0" applyNumberFormat="1" applyFont="1" applyBorder="1"/>
    <xf numFmtId="0" fontId="16" fillId="2" borderId="6" xfId="0" applyFont="1" applyFill="1" applyBorder="1"/>
    <xf numFmtId="0" fontId="16" fillId="6" borderId="6" xfId="0" applyFont="1" applyFill="1" applyBorder="1"/>
    <xf numFmtId="44" fontId="16" fillId="6" borderId="6" xfId="1" applyFont="1" applyFill="1" applyBorder="1" applyAlignment="1">
      <alignment horizontal="right"/>
    </xf>
    <xf numFmtId="0" fontId="16" fillId="8" borderId="6" xfId="0" applyFont="1" applyFill="1" applyBorder="1"/>
    <xf numFmtId="44" fontId="16" fillId="8" borderId="6" xfId="1" applyFont="1" applyFill="1" applyBorder="1"/>
    <xf numFmtId="0" fontId="16" fillId="10" borderId="6" xfId="0" applyFont="1" applyFill="1" applyBorder="1"/>
    <xf numFmtId="44" fontId="16" fillId="10" borderId="6" xfId="1" applyFont="1" applyFill="1" applyBorder="1"/>
    <xf numFmtId="0" fontId="16" fillId="7" borderId="6" xfId="0" applyFont="1" applyFill="1" applyBorder="1"/>
    <xf numFmtId="44" fontId="16" fillId="7" borderId="6" xfId="1" applyFont="1" applyFill="1" applyBorder="1" applyAlignment="1">
      <alignment horizontal="right"/>
    </xf>
    <xf numFmtId="0" fontId="16" fillId="11" borderId="6" xfId="0" applyFont="1" applyFill="1" applyBorder="1"/>
    <xf numFmtId="44" fontId="16" fillId="11" borderId="6" xfId="1" applyFont="1" applyFill="1" applyBorder="1"/>
    <xf numFmtId="44" fontId="16" fillId="11" borderId="6" xfId="1" applyFont="1" applyFill="1" applyBorder="1" applyAlignment="1">
      <alignment horizontal="right"/>
    </xf>
    <xf numFmtId="0" fontId="16" fillId="21" borderId="6" xfId="0" applyFont="1" applyFill="1" applyBorder="1"/>
    <xf numFmtId="0" fontId="16" fillId="5" borderId="6" xfId="0" applyFont="1" applyFill="1" applyBorder="1"/>
    <xf numFmtId="44" fontId="16" fillId="5" borderId="6" xfId="1" applyFont="1" applyFill="1" applyBorder="1" applyAlignment="1">
      <alignment horizontal="right"/>
    </xf>
    <xf numFmtId="44" fontId="16" fillId="21" borderId="11" xfId="1" applyFont="1" applyFill="1" applyBorder="1" applyAlignment="1">
      <alignment horizontal="right"/>
    </xf>
    <xf numFmtId="9" fontId="3" fillId="12" borderId="10" xfId="0" applyNumberFormat="1" applyFont="1" applyFill="1" applyBorder="1"/>
    <xf numFmtId="0" fontId="16" fillId="22" borderId="6" xfId="0" applyFont="1" applyFill="1" applyBorder="1"/>
    <xf numFmtId="0" fontId="18" fillId="0" borderId="6" xfId="0" applyFont="1" applyBorder="1"/>
    <xf numFmtId="10" fontId="2" fillId="0" borderId="6" xfId="0" applyNumberFormat="1" applyFont="1" applyBorder="1"/>
    <xf numFmtId="3" fontId="3" fillId="0" borderId="0" xfId="0" applyNumberFormat="1" applyFont="1"/>
    <xf numFmtId="8" fontId="16" fillId="2" borderId="6" xfId="1" applyNumberFormat="1" applyFont="1" applyFill="1" applyBorder="1" applyAlignment="1">
      <alignment horizontal="right"/>
    </xf>
    <xf numFmtId="0" fontId="0" fillId="0" borderId="12" xfId="0" applyBorder="1"/>
    <xf numFmtId="0" fontId="11" fillId="0" borderId="13" xfId="0" applyFont="1" applyBorder="1" applyAlignment="1">
      <alignment horizontal="center" vertical="center"/>
    </xf>
    <xf numFmtId="0" fontId="0" fillId="0" borderId="14" xfId="0" applyBorder="1"/>
    <xf numFmtId="0" fontId="11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11" fillId="0" borderId="14" xfId="0" applyFont="1" applyBorder="1"/>
    <xf numFmtId="0" fontId="11" fillId="23" borderId="10" xfId="0" applyFont="1" applyFill="1" applyBorder="1" applyAlignment="1">
      <alignment horizontal="center" vertical="center"/>
    </xf>
    <xf numFmtId="0" fontId="5" fillId="20" borderId="6" xfId="0" applyFont="1" applyFill="1" applyBorder="1"/>
    <xf numFmtId="0" fontId="0" fillId="12" borderId="6" xfId="0" applyFill="1" applyBorder="1"/>
    <xf numFmtId="0" fontId="0" fillId="0" borderId="6" xfId="0" applyBorder="1"/>
    <xf numFmtId="3" fontId="0" fillId="0" borderId="0" xfId="0" applyNumberFormat="1"/>
    <xf numFmtId="0" fontId="3" fillId="0" borderId="13" xfId="0" applyFont="1" applyBorder="1"/>
    <xf numFmtId="168" fontId="0" fillId="12" borderId="6" xfId="2" applyNumberFormat="1" applyFont="1" applyFill="1" applyBorder="1"/>
    <xf numFmtId="1" fontId="0" fillId="0" borderId="0" xfId="0" applyNumberFormat="1"/>
    <xf numFmtId="7" fontId="17" fillId="22" borderId="6" xfId="1" applyNumberFormat="1" applyFont="1" applyFill="1" applyBorder="1" applyAlignment="1">
      <alignment horizontal="right"/>
    </xf>
    <xf numFmtId="169" fontId="0" fillId="0" borderId="0" xfId="0" applyNumberFormat="1"/>
    <xf numFmtId="168" fontId="0" fillId="0" borderId="0" xfId="2" applyNumberFormat="1" applyFont="1"/>
    <xf numFmtId="0" fontId="4" fillId="12" borderId="6" xfId="0" applyFont="1" applyFill="1" applyBorder="1"/>
    <xf numFmtId="7" fontId="17" fillId="22" borderId="6" xfId="1" applyNumberFormat="1" applyFont="1" applyFill="1" applyBorder="1" applyAlignment="1">
      <alignment horizontal="center"/>
    </xf>
    <xf numFmtId="0" fontId="17" fillId="14" borderId="6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7" fontId="0" fillId="0" borderId="0" xfId="0" applyNumberFormat="1"/>
    <xf numFmtId="0" fontId="3" fillId="0" borderId="5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4" fillId="12" borderId="12" xfId="0" applyFont="1" applyFill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16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</cellXfs>
  <cellStyles count="4">
    <cellStyle name="Moeda" xfId="1" builtinId="4"/>
    <cellStyle name="Normal" xfId="0" builtinId="0"/>
    <cellStyle name="Normal 2" xfId="3" xr:uid="{00000000-0005-0000-0000-000002000000}"/>
    <cellStyle name="Porcentagem" xfId="2" builtinId="5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Anális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Análise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15"/>
  <sheetViews>
    <sheetView tabSelected="1" zoomScale="85" zoomScaleNormal="85" workbookViewId="0">
      <selection activeCell="C19" sqref="C19"/>
    </sheetView>
  </sheetViews>
  <sheetFormatPr defaultColWidth="11.09765625" defaultRowHeight="15" customHeight="1"/>
  <cols>
    <col min="1" max="1" width="37" customWidth="1"/>
    <col min="2" max="2" width="24.296875" customWidth="1"/>
    <col min="3" max="3" width="15.19921875" customWidth="1"/>
    <col min="4" max="4" width="17.59765625" customWidth="1"/>
    <col min="5" max="5" width="17.09765625" customWidth="1"/>
    <col min="6" max="8" width="13" customWidth="1"/>
    <col min="9" max="14" width="11.09765625" customWidth="1"/>
    <col min="15" max="15" width="14.59765625" customWidth="1"/>
    <col min="16" max="20" width="11.09765625" customWidth="1"/>
    <col min="22" max="22" width="11.3984375" customWidth="1"/>
    <col min="25" max="25" width="24.3984375" customWidth="1"/>
    <col min="26" max="27" width="13.296875" bestFit="1" customWidth="1"/>
    <col min="29" max="29" width="5" customWidth="1"/>
    <col min="33" max="33" width="31.5" customWidth="1"/>
  </cols>
  <sheetData>
    <row r="1" spans="1:33" ht="15" customHeight="1">
      <c r="A1" s="145" t="s">
        <v>0</v>
      </c>
      <c r="B1" s="146"/>
      <c r="C1" s="1"/>
      <c r="D1" s="93" t="s">
        <v>160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26</v>
      </c>
      <c r="V1" s="1"/>
    </row>
    <row r="2" spans="1:33" ht="16.2" thickBot="1">
      <c r="A2" s="96" t="s">
        <v>1</v>
      </c>
      <c r="B2" s="117">
        <v>5600</v>
      </c>
      <c r="C2" s="94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1"/>
      <c r="O2" s="1"/>
      <c r="P2" s="1"/>
      <c r="Q2" s="1"/>
      <c r="R2" s="1"/>
      <c r="S2" s="1"/>
      <c r="T2" s="1"/>
      <c r="U2" s="40" t="s">
        <v>25</v>
      </c>
      <c r="V2" s="40" t="s">
        <v>55</v>
      </c>
      <c r="W2" s="40" t="s">
        <v>54</v>
      </c>
      <c r="X2" s="40" t="s">
        <v>53</v>
      </c>
      <c r="Y2" s="40" t="s">
        <v>52</v>
      </c>
      <c r="Z2" s="63" t="s">
        <v>144</v>
      </c>
      <c r="AA2" s="63" t="s">
        <v>143</v>
      </c>
      <c r="AC2" s="43" t="s">
        <v>25</v>
      </c>
      <c r="AD2" s="43" t="s">
        <v>62</v>
      </c>
      <c r="AE2" s="43" t="s">
        <v>63</v>
      </c>
      <c r="AF2" s="43" t="s">
        <v>64</v>
      </c>
      <c r="AG2" s="43" t="s">
        <v>65</v>
      </c>
    </row>
    <row r="3" spans="1:33" ht="15.6">
      <c r="A3" s="97" t="s">
        <v>12</v>
      </c>
      <c r="B3" s="98">
        <v>1200</v>
      </c>
      <c r="C3" s="82"/>
      <c r="D3" s="21" t="s">
        <v>36</v>
      </c>
      <c r="E3" s="30">
        <f>H3*I3/1000</f>
        <v>3.75</v>
      </c>
      <c r="F3" s="31">
        <v>5600</v>
      </c>
      <c r="G3" s="30">
        <v>2.74</v>
      </c>
      <c r="H3" s="29">
        <v>6</v>
      </c>
      <c r="I3" s="29">
        <v>625</v>
      </c>
      <c r="J3" s="29" t="s">
        <v>204</v>
      </c>
      <c r="K3" s="29" t="s">
        <v>202</v>
      </c>
      <c r="L3" s="32">
        <v>3977.2</v>
      </c>
      <c r="M3" s="33">
        <f>L3/12</f>
        <v>331.43333333333334</v>
      </c>
      <c r="O3" s="1"/>
      <c r="P3" s="1"/>
      <c r="Q3" s="1"/>
      <c r="R3" s="1"/>
      <c r="S3" s="1"/>
      <c r="T3" s="1"/>
      <c r="U3" s="38">
        <v>2026</v>
      </c>
      <c r="V3" s="68">
        <v>1.1979</v>
      </c>
      <c r="W3" s="68">
        <v>0.22389999999999999</v>
      </c>
      <c r="X3" s="39" t="s">
        <v>51</v>
      </c>
      <c r="Y3" s="68">
        <v>1.1039000000000001</v>
      </c>
      <c r="Z3" s="73">
        <f>Y3*$B$35*12</f>
        <v>4390.4310800000003</v>
      </c>
      <c r="AA3" s="73">
        <f ca="1">V3*$D$35*12</f>
        <v>5401.8187377634413</v>
      </c>
      <c r="AC3" s="44" t="s">
        <v>66</v>
      </c>
      <c r="AD3" s="44" t="s">
        <v>67</v>
      </c>
      <c r="AE3" s="44" t="s">
        <v>68</v>
      </c>
      <c r="AF3" s="44" t="s">
        <v>68</v>
      </c>
      <c r="AG3" s="44" t="s">
        <v>69</v>
      </c>
    </row>
    <row r="4" spans="1:33" ht="15.6">
      <c r="A4" s="97" t="s">
        <v>13</v>
      </c>
      <c r="B4" s="98">
        <v>800</v>
      </c>
      <c r="C4" s="82"/>
      <c r="D4" s="25" t="s">
        <v>35</v>
      </c>
      <c r="E4" s="26">
        <f>H4*I4/1000</f>
        <v>2.48</v>
      </c>
      <c r="F4" s="27"/>
      <c r="G4" s="24">
        <f>F4/(E4*1000)</f>
        <v>0</v>
      </c>
      <c r="H4" s="26">
        <v>4</v>
      </c>
      <c r="I4" s="26">
        <v>620</v>
      </c>
      <c r="J4" s="140" t="s">
        <v>37</v>
      </c>
      <c r="K4" s="26" t="s">
        <v>202</v>
      </c>
      <c r="L4" s="23">
        <v>2830.5</v>
      </c>
      <c r="M4" s="28">
        <f>L4/12</f>
        <v>235.875</v>
      </c>
      <c r="O4" s="1"/>
      <c r="P4" s="1"/>
      <c r="Q4" s="8" t="s">
        <v>58</v>
      </c>
      <c r="S4" s="8" t="s">
        <v>26</v>
      </c>
      <c r="T4" s="1"/>
      <c r="U4" s="36">
        <v>2027</v>
      </c>
      <c r="V4" s="69">
        <v>1.3057000000000001</v>
      </c>
      <c r="W4" s="69">
        <v>0.24410000000000001</v>
      </c>
      <c r="X4" s="37" t="s">
        <v>51</v>
      </c>
      <c r="Y4" s="69">
        <v>1.1775</v>
      </c>
      <c r="Z4" s="74">
        <f t="shared" ref="Z4:Z28" si="0">Y4*$B$35*12+Z3</f>
        <v>9073.5840800000005</v>
      </c>
      <c r="AA4" s="74">
        <f t="shared" ref="AA4:AA28" ca="1" si="1">$B$35*V4*12+AA3</f>
        <v>10594.848777763442</v>
      </c>
      <c r="AC4" s="45" t="s">
        <v>70</v>
      </c>
      <c r="AD4" s="45" t="s">
        <v>71</v>
      </c>
      <c r="AE4" s="45" t="s">
        <v>72</v>
      </c>
      <c r="AF4" s="45" t="s">
        <v>72</v>
      </c>
      <c r="AG4" s="45" t="s">
        <v>73</v>
      </c>
    </row>
    <row r="5" spans="1:33" ht="15.6">
      <c r="A5" s="99" t="s">
        <v>14</v>
      </c>
      <c r="B5" s="100"/>
      <c r="C5" s="82"/>
      <c r="D5" s="25" t="s">
        <v>38</v>
      </c>
      <c r="E5" s="26">
        <f t="shared" ref="E5" si="2">H5*I5/1000</f>
        <v>2.48</v>
      </c>
      <c r="F5" s="27"/>
      <c r="G5" s="24">
        <f>F5/(E5*1000)</f>
        <v>0</v>
      </c>
      <c r="H5" s="26">
        <v>4</v>
      </c>
      <c r="I5" s="26">
        <v>620</v>
      </c>
      <c r="J5" s="140" t="s">
        <v>37</v>
      </c>
      <c r="K5" s="26" t="s">
        <v>202</v>
      </c>
      <c r="L5" s="23">
        <v>2830.5</v>
      </c>
      <c r="M5" s="28">
        <f t="shared" ref="M5" si="3">L5/12</f>
        <v>235.875</v>
      </c>
      <c r="O5" s="1"/>
      <c r="P5" s="1"/>
      <c r="Q5" s="1"/>
      <c r="R5" s="1"/>
      <c r="S5" s="8" t="s">
        <v>59</v>
      </c>
      <c r="T5" s="1"/>
      <c r="U5" s="38">
        <v>2028</v>
      </c>
      <c r="V5" s="68">
        <v>1.4232</v>
      </c>
      <c r="W5" s="68">
        <v>0.26600000000000001</v>
      </c>
      <c r="X5" s="39" t="s">
        <v>51</v>
      </c>
      <c r="Y5" s="68">
        <v>1.2556</v>
      </c>
      <c r="Z5" s="73">
        <f t="shared" si="0"/>
        <v>14067.356400000001</v>
      </c>
      <c r="AA5" s="73">
        <f t="shared" ca="1" si="1"/>
        <v>16255.199817763441</v>
      </c>
      <c r="AC5" s="44" t="s">
        <v>74</v>
      </c>
      <c r="AD5" s="44" t="s">
        <v>75</v>
      </c>
      <c r="AE5" s="44" t="s">
        <v>76</v>
      </c>
      <c r="AF5" s="44" t="s">
        <v>77</v>
      </c>
      <c r="AG5" s="44" t="s">
        <v>78</v>
      </c>
    </row>
    <row r="6" spans="1:33" ht="15.6">
      <c r="A6" s="101" t="s">
        <v>16</v>
      </c>
      <c r="B6" s="102"/>
      <c r="C6" s="82"/>
      <c r="D6" s="25"/>
      <c r="E6" s="26"/>
      <c r="F6" s="27"/>
      <c r="G6" s="141"/>
      <c r="H6" s="26"/>
      <c r="I6" s="26"/>
      <c r="J6" s="22"/>
      <c r="K6" s="26"/>
      <c r="L6" s="23"/>
      <c r="M6" s="28"/>
      <c r="O6" s="1"/>
      <c r="P6" s="1"/>
      <c r="Q6" s="1"/>
      <c r="R6" s="1"/>
      <c r="S6" s="8" t="s">
        <v>60</v>
      </c>
      <c r="T6" s="1"/>
      <c r="U6" s="36">
        <v>2029</v>
      </c>
      <c r="V6" s="69">
        <v>1.5512999999999999</v>
      </c>
      <c r="W6" s="69">
        <v>0.28999999999999998</v>
      </c>
      <c r="X6" s="37" t="s">
        <v>51</v>
      </c>
      <c r="Y6" s="69">
        <v>1.3686</v>
      </c>
      <c r="Z6" s="74">
        <f t="shared" si="0"/>
        <v>19510.552320000003</v>
      </c>
      <c r="AA6" s="74">
        <f t="shared" ca="1" si="1"/>
        <v>22425.030177763441</v>
      </c>
      <c r="AC6" s="45" t="s">
        <v>79</v>
      </c>
      <c r="AD6" s="45" t="s">
        <v>80</v>
      </c>
      <c r="AE6" s="45" t="s">
        <v>76</v>
      </c>
      <c r="AF6" s="45" t="s">
        <v>81</v>
      </c>
      <c r="AG6" s="45"/>
    </row>
    <row r="7" spans="1:33" ht="15.6">
      <c r="A7" s="101" t="s">
        <v>19</v>
      </c>
      <c r="B7" s="102"/>
      <c r="C7" s="82"/>
      <c r="D7" s="15"/>
      <c r="E7" s="16"/>
      <c r="F7" s="17"/>
      <c r="G7" s="18"/>
      <c r="H7" s="16"/>
      <c r="I7" s="16"/>
      <c r="J7" s="142"/>
      <c r="K7" s="16"/>
      <c r="L7" s="19"/>
      <c r="M7" s="20"/>
      <c r="O7" s="1"/>
      <c r="P7" s="1"/>
      <c r="R7" s="1"/>
      <c r="S7" s="1"/>
      <c r="T7" s="1"/>
      <c r="U7" s="38">
        <v>2030</v>
      </c>
      <c r="V7" s="68">
        <v>1.6909000000000001</v>
      </c>
      <c r="W7" s="68">
        <v>0.31609999999999999</v>
      </c>
      <c r="X7" s="39" t="s">
        <v>51</v>
      </c>
      <c r="Y7" s="68">
        <v>1.4918</v>
      </c>
      <c r="Z7" s="73">
        <f t="shared" si="0"/>
        <v>25443.739280000002</v>
      </c>
      <c r="AA7" s="73">
        <f t="shared" ca="1" si="1"/>
        <v>29150.077657763439</v>
      </c>
      <c r="AC7" s="44" t="s">
        <v>82</v>
      </c>
      <c r="AD7" s="49">
        <v>0.96350000000000002</v>
      </c>
      <c r="AE7" s="51">
        <v>5.4999999999999997E-3</v>
      </c>
      <c r="AF7" s="49">
        <v>3.6499999999999998E-2</v>
      </c>
      <c r="AG7" s="44"/>
    </row>
    <row r="8" spans="1:33" ht="15.6">
      <c r="A8" s="101" t="s">
        <v>20</v>
      </c>
      <c r="B8" s="102">
        <v>200</v>
      </c>
      <c r="C8" s="95"/>
      <c r="D8" s="9"/>
      <c r="E8" s="1"/>
      <c r="F8" s="1"/>
      <c r="G8" s="1"/>
      <c r="H8" s="11"/>
      <c r="I8" s="1"/>
      <c r="J8" s="1"/>
      <c r="K8" s="1"/>
      <c r="L8" s="1"/>
      <c r="M8" s="1"/>
      <c r="O8" s="1"/>
      <c r="P8" s="1"/>
      <c r="Q8" s="1" t="s">
        <v>138</v>
      </c>
      <c r="R8" s="1" t="s">
        <v>139</v>
      </c>
      <c r="S8" s="1" t="s">
        <v>141</v>
      </c>
      <c r="T8" s="1"/>
      <c r="U8" s="36">
        <v>2031</v>
      </c>
      <c r="V8" s="69">
        <v>1.8431</v>
      </c>
      <c r="W8" s="69">
        <v>0.34449999999999997</v>
      </c>
      <c r="X8" s="37" t="s">
        <v>51</v>
      </c>
      <c r="Y8" s="69">
        <v>1.6261000000000001</v>
      </c>
      <c r="Z8" s="74">
        <f t="shared" si="0"/>
        <v>31911.064200000001</v>
      </c>
      <c r="AA8" s="74">
        <f t="shared" ca="1" si="1"/>
        <v>36480.454977763438</v>
      </c>
      <c r="AC8" s="45" t="s">
        <v>83</v>
      </c>
      <c r="AD8" s="50">
        <v>0.95799999999999996</v>
      </c>
      <c r="AE8" s="52">
        <v>5.4999999999999997E-3</v>
      </c>
      <c r="AF8" s="50">
        <v>4.2000000000000003E-2</v>
      </c>
      <c r="AG8" s="45"/>
    </row>
    <row r="9" spans="1:33" ht="15.6">
      <c r="A9" s="103" t="s">
        <v>34</v>
      </c>
      <c r="B9" s="104">
        <f ca="1">MAX(15%*B15*IF(OR($C$15="",$C$15=0),1,1-$C$15),1500)</f>
        <v>1743.7046004842614</v>
      </c>
      <c r="C9" s="95"/>
      <c r="E9" s="3" t="s">
        <v>15</v>
      </c>
      <c r="F9" s="3"/>
      <c r="G9" s="4">
        <f>M3</f>
        <v>331.43333333333334</v>
      </c>
      <c r="H9" s="1"/>
      <c r="I9" s="5"/>
      <c r="J9" s="1"/>
      <c r="K9" s="1"/>
      <c r="N9" s="1"/>
      <c r="O9" s="1"/>
      <c r="P9" s="1"/>
      <c r="Q9" s="1"/>
      <c r="R9" s="1" t="s">
        <v>140</v>
      </c>
      <c r="S9" s="1" t="s">
        <v>142</v>
      </c>
      <c r="T9" s="1"/>
      <c r="U9" s="38">
        <v>2032</v>
      </c>
      <c r="V9" s="68">
        <v>2.0089999999999999</v>
      </c>
      <c r="W9" s="68">
        <v>0.3755</v>
      </c>
      <c r="X9" s="39" t="s">
        <v>51</v>
      </c>
      <c r="Y9" s="68">
        <v>1.7724</v>
      </c>
      <c r="Z9" s="73">
        <f t="shared" si="0"/>
        <v>38960.253479999999</v>
      </c>
      <c r="AA9" s="73">
        <f t="shared" ca="1" si="1"/>
        <v>44470.649777763436</v>
      </c>
      <c r="AC9" s="44" t="s">
        <v>84</v>
      </c>
      <c r="AD9" s="49">
        <v>0.95250000000000001</v>
      </c>
      <c r="AE9" s="51">
        <v>5.4999999999999997E-3</v>
      </c>
      <c r="AF9" s="49">
        <v>4.7500000000000001E-2</v>
      </c>
      <c r="AG9" s="44"/>
    </row>
    <row r="10" spans="1:33" ht="15.6">
      <c r="A10" s="105" t="s">
        <v>161</v>
      </c>
      <c r="B10" s="106">
        <v>150</v>
      </c>
      <c r="C10" s="82"/>
      <c r="E10" s="3" t="s">
        <v>17</v>
      </c>
      <c r="F10" s="3"/>
      <c r="G10" s="4">
        <f>E3</f>
        <v>3.75</v>
      </c>
      <c r="K10" s="1"/>
      <c r="O10" s="1"/>
      <c r="P10" s="1"/>
      <c r="Q10" s="1"/>
      <c r="T10" s="1"/>
      <c r="U10" s="36">
        <v>2033</v>
      </c>
      <c r="V10" s="69">
        <v>2.1898</v>
      </c>
      <c r="W10" s="69">
        <v>0.4093</v>
      </c>
      <c r="X10" s="37" t="s">
        <v>51</v>
      </c>
      <c r="Y10" s="69">
        <v>1.9319</v>
      </c>
      <c r="Z10" s="74">
        <f t="shared" si="0"/>
        <v>46643.80616</v>
      </c>
      <c r="AA10" s="74">
        <f t="shared" ca="1" si="1"/>
        <v>53179.922337763433</v>
      </c>
      <c r="AC10" s="45" t="s">
        <v>85</v>
      </c>
      <c r="AD10" s="50">
        <v>0.94699999999999995</v>
      </c>
      <c r="AE10" s="52">
        <v>5.4999999999999997E-3</v>
      </c>
      <c r="AF10" s="50">
        <v>5.2999999999999999E-2</v>
      </c>
      <c r="AG10" s="45"/>
    </row>
    <row r="11" spans="1:33" ht="15.6">
      <c r="A11" s="105" t="s">
        <v>21</v>
      </c>
      <c r="B11" s="107">
        <v>500</v>
      </c>
      <c r="C11" s="1"/>
      <c r="E11" s="3" t="s">
        <v>18</v>
      </c>
      <c r="F11" s="3"/>
      <c r="G11" s="42">
        <f>H3</f>
        <v>6</v>
      </c>
      <c r="K11" s="1"/>
      <c r="O11" s="11"/>
      <c r="P11" s="1"/>
      <c r="Q11" s="1"/>
      <c r="R11" s="1"/>
      <c r="S11" s="1"/>
      <c r="T11" s="1"/>
      <c r="U11" s="38">
        <v>2034</v>
      </c>
      <c r="V11" s="68">
        <v>2.3868999999999998</v>
      </c>
      <c r="W11" s="68">
        <v>0.44619999999999999</v>
      </c>
      <c r="X11" s="39" t="s">
        <v>51</v>
      </c>
      <c r="Y11" s="68">
        <v>2.1057999999999999</v>
      </c>
      <c r="Z11" s="73">
        <f t="shared" si="0"/>
        <v>55018.993920000001</v>
      </c>
      <c r="AA11" s="73">
        <f t="shared" ca="1" si="1"/>
        <v>62673.101017763431</v>
      </c>
      <c r="AC11" s="44" t="s">
        <v>86</v>
      </c>
      <c r="AD11" s="49">
        <v>0.9415</v>
      </c>
      <c r="AE11" s="51">
        <v>5.4999999999999997E-3</v>
      </c>
      <c r="AF11" s="49">
        <v>5.8500000000000003E-2</v>
      </c>
      <c r="AG11" s="44"/>
    </row>
    <row r="12" spans="1:33" ht="15.6">
      <c r="A12" s="105" t="s">
        <v>131</v>
      </c>
      <c r="B12" s="107">
        <f ca="1">MAX(3%*B15*IF(OR($C$15="",$C$15=0),1,1-$C$15),600)</f>
        <v>600</v>
      </c>
      <c r="C12" s="112">
        <v>0.03</v>
      </c>
      <c r="D12" s="1"/>
      <c r="G12" s="1"/>
      <c r="K12" s="1"/>
      <c r="O12" s="1"/>
      <c r="P12" s="1"/>
      <c r="Q12" s="1"/>
      <c r="R12" s="1"/>
      <c r="S12" s="1"/>
      <c r="T12" s="1"/>
      <c r="U12" s="36">
        <v>2035</v>
      </c>
      <c r="V12" s="69">
        <v>2.6017000000000001</v>
      </c>
      <c r="W12" s="69">
        <v>0.48630000000000001</v>
      </c>
      <c r="X12" s="37" t="s">
        <v>51</v>
      </c>
      <c r="Y12" s="69">
        <v>2.2953000000000001</v>
      </c>
      <c r="Z12" s="74">
        <f t="shared" si="0"/>
        <v>64147.861080000002</v>
      </c>
      <c r="AA12" s="74">
        <f t="shared" ca="1" si="1"/>
        <v>73020.582257763424</v>
      </c>
      <c r="AC12" s="45" t="s">
        <v>87</v>
      </c>
      <c r="AD12" s="50">
        <v>0.93600000000000005</v>
      </c>
      <c r="AE12" s="52">
        <v>5.4999999999999997E-3</v>
      </c>
      <c r="AF12" s="50">
        <v>6.4000000000000001E-2</v>
      </c>
      <c r="AG12" s="45"/>
    </row>
    <row r="13" spans="1:33" ht="15.6">
      <c r="A13" s="105" t="s">
        <v>132</v>
      </c>
      <c r="B13" s="107">
        <f ca="1">IF(C13="",0,C13*B15)</f>
        <v>0</v>
      </c>
      <c r="C13" s="112">
        <v>0</v>
      </c>
      <c r="D13" s="1"/>
      <c r="E13" s="76"/>
      <c r="G13" s="1"/>
      <c r="H13" s="1"/>
      <c r="I13" s="1"/>
      <c r="J13" s="1"/>
      <c r="K13" s="1"/>
      <c r="O13" s="1"/>
      <c r="P13" s="1"/>
      <c r="Q13" s="1"/>
      <c r="T13" s="1"/>
      <c r="U13" s="38">
        <v>2036</v>
      </c>
      <c r="V13" s="68">
        <v>2.8359000000000001</v>
      </c>
      <c r="W13" s="68">
        <v>0.53010000000000002</v>
      </c>
      <c r="X13" s="39" t="s">
        <v>51</v>
      </c>
      <c r="Y13" s="68">
        <v>2.5019</v>
      </c>
      <c r="Z13" s="73">
        <f t="shared" si="0"/>
        <v>74098.417760000011</v>
      </c>
      <c r="AA13" s="73">
        <f t="shared" ca="1" si="1"/>
        <v>84299.523737763418</v>
      </c>
      <c r="AC13" s="44" t="s">
        <v>88</v>
      </c>
      <c r="AD13" s="49">
        <v>0.93049999999999999</v>
      </c>
      <c r="AE13" s="51">
        <v>5.4999999999999997E-3</v>
      </c>
      <c r="AF13" s="49">
        <v>6.9500000000000006E-2</v>
      </c>
      <c r="AG13" s="44"/>
    </row>
    <row r="14" spans="1:33" ht="17.399999999999999">
      <c r="A14" s="108" t="s">
        <v>22</v>
      </c>
      <c r="B14" s="111">
        <f ca="1">16%*SUM(B3:B13)</f>
        <v>830.99273607748182</v>
      </c>
      <c r="C14" s="114" t="s">
        <v>162</v>
      </c>
      <c r="D14" s="1">
        <v>9611</v>
      </c>
      <c r="G14" s="1"/>
      <c r="H14" s="11">
        <v>6301.15</v>
      </c>
      <c r="I14" s="1"/>
      <c r="J14" s="1"/>
      <c r="K14" s="1"/>
      <c r="L14" s="1"/>
      <c r="M14" s="1"/>
      <c r="O14" s="1"/>
      <c r="P14" s="1"/>
      <c r="Q14" s="1" t="s">
        <v>127</v>
      </c>
      <c r="R14" s="77" t="str">
        <f>IF(B19="João Victor Bagetti Fuchs","(54) 98110 8228",IF(B19="Daniel Rotava","(54) 99646 8910",""))</f>
        <v>(54) 99646 8910</v>
      </c>
      <c r="T14" s="1"/>
      <c r="U14" s="36">
        <v>2037</v>
      </c>
      <c r="V14" s="69">
        <v>3.0911</v>
      </c>
      <c r="W14" s="69">
        <v>0.57779999999999998</v>
      </c>
      <c r="X14" s="37" t="s">
        <v>51</v>
      </c>
      <c r="Y14" s="69">
        <v>2.7271000000000001</v>
      </c>
      <c r="Z14" s="74">
        <f t="shared" si="0"/>
        <v>84944.639880000017</v>
      </c>
      <c r="AA14" s="74">
        <f t="shared" ca="1" si="1"/>
        <v>96593.446657763416</v>
      </c>
      <c r="AC14" s="45" t="s">
        <v>89</v>
      </c>
      <c r="AD14" s="50">
        <v>0.92500000000000004</v>
      </c>
      <c r="AE14" s="52">
        <v>5.4999999999999997E-3</v>
      </c>
      <c r="AF14" s="50">
        <v>7.4999999999999997E-2</v>
      </c>
      <c r="AG14" s="45"/>
    </row>
    <row r="15" spans="1:33" ht="15.6">
      <c r="A15" s="113" t="s">
        <v>23</v>
      </c>
      <c r="B15" s="132">
        <f ca="1">SUM(B2:B14)</f>
        <v>11624.697336561743</v>
      </c>
      <c r="C15" s="115">
        <v>0</v>
      </c>
      <c r="D15" s="1">
        <v>11624</v>
      </c>
      <c r="G15" s="1"/>
      <c r="H15" s="139">
        <f ca="1">B15-H14</f>
        <v>5323.5473365617436</v>
      </c>
      <c r="I15" s="1"/>
      <c r="J15" s="1"/>
      <c r="K15" s="1"/>
      <c r="N15" s="1"/>
      <c r="O15" s="1"/>
      <c r="P15" s="1"/>
      <c r="Q15" s="1" t="s">
        <v>196</v>
      </c>
      <c r="R15" s="11">
        <f ca="1">SUM(B2:B13)*1.095</f>
        <v>11819.106537530266</v>
      </c>
      <c r="S15" s="1"/>
      <c r="T15" s="1"/>
      <c r="U15" s="38">
        <v>2038</v>
      </c>
      <c r="V15" s="68">
        <v>3.3693</v>
      </c>
      <c r="W15" s="68">
        <v>0.62980000000000003</v>
      </c>
      <c r="X15" s="39" t="s">
        <v>51</v>
      </c>
      <c r="Y15" s="68">
        <v>2.9725000000000001</v>
      </c>
      <c r="Z15" s="73">
        <f t="shared" si="0"/>
        <v>96766.866880000016</v>
      </c>
      <c r="AA15" s="73">
        <f t="shared" ca="1" si="1"/>
        <v>109993.82661776341</v>
      </c>
      <c r="AC15" s="44" t="s">
        <v>90</v>
      </c>
      <c r="AD15" s="49">
        <v>0.91949999999999998</v>
      </c>
      <c r="AE15" s="51">
        <v>5.4999999999999997E-3</v>
      </c>
      <c r="AF15" s="49">
        <v>8.0500000000000002E-2</v>
      </c>
      <c r="AG15" s="44"/>
    </row>
    <row r="16" spans="1:33" ht="15.6">
      <c r="A16" s="109" t="s">
        <v>24</v>
      </c>
      <c r="B16" s="110">
        <f ca="1">B15/(G10*1000)</f>
        <v>3.0999192897497982</v>
      </c>
      <c r="C16" s="82"/>
      <c r="D16" s="1">
        <f>D15-D14</f>
        <v>2013</v>
      </c>
      <c r="E16" s="78" t="s">
        <v>39</v>
      </c>
      <c r="F16" s="78" t="s">
        <v>61</v>
      </c>
      <c r="G16" s="1"/>
      <c r="H16" s="1"/>
      <c r="I16" s="1"/>
      <c r="J16" s="1"/>
      <c r="K16" s="1"/>
      <c r="N16" s="1"/>
      <c r="O16" s="1"/>
      <c r="S16" s="1"/>
      <c r="T16" s="1"/>
      <c r="U16" s="36">
        <v>2039</v>
      </c>
      <c r="V16" s="69">
        <v>3.6724999999999999</v>
      </c>
      <c r="W16" s="69">
        <v>0.6865</v>
      </c>
      <c r="X16" s="37" t="s">
        <v>51</v>
      </c>
      <c r="Y16" s="69">
        <v>3.24</v>
      </c>
      <c r="Z16" s="74">
        <f t="shared" si="0"/>
        <v>109652.99488000001</v>
      </c>
      <c r="AA16" s="74">
        <f t="shared" ca="1" si="1"/>
        <v>124600.0936177634</v>
      </c>
      <c r="AC16" s="45" t="s">
        <v>91</v>
      </c>
      <c r="AD16" s="50">
        <v>0.91400000000000003</v>
      </c>
      <c r="AE16" s="52">
        <v>5.4999999999999997E-3</v>
      </c>
      <c r="AF16" s="50">
        <v>8.5999999999999993E-2</v>
      </c>
      <c r="AG16" s="45"/>
    </row>
    <row r="17" spans="1:33" ht="15.6">
      <c r="A17" s="62" t="s">
        <v>130</v>
      </c>
      <c r="B17" s="41" t="s">
        <v>26</v>
      </c>
      <c r="C17" s="1"/>
      <c r="D17" s="1">
        <f>700*2</f>
        <v>1400</v>
      </c>
      <c r="E17" s="79" t="s">
        <v>40</v>
      </c>
      <c r="F17" s="80">
        <v>324.36399999999998</v>
      </c>
      <c r="G17" s="1"/>
      <c r="H17" s="1"/>
      <c r="I17" s="1"/>
      <c r="J17" s="1"/>
      <c r="K17" s="1"/>
      <c r="N17" s="1"/>
      <c r="O17" s="1"/>
      <c r="P17" s="1"/>
      <c r="S17" s="1"/>
      <c r="T17" s="1"/>
      <c r="U17" s="38">
        <v>2040</v>
      </c>
      <c r="V17" s="68">
        <v>4.0030000000000001</v>
      </c>
      <c r="W17" s="68">
        <v>0.74829999999999997</v>
      </c>
      <c r="X17" s="39" t="s">
        <v>51</v>
      </c>
      <c r="Y17" s="68">
        <v>3.5316000000000001</v>
      </c>
      <c r="Z17" s="73">
        <f t="shared" si="0"/>
        <v>123698.87440000002</v>
      </c>
      <c r="AA17" s="73">
        <f t="shared" ca="1" si="1"/>
        <v>140520.8252177634</v>
      </c>
      <c r="AC17" s="44" t="s">
        <v>92</v>
      </c>
      <c r="AD17" s="49">
        <v>0.90849999999999997</v>
      </c>
      <c r="AE17" s="51">
        <v>5.4999999999999997E-3</v>
      </c>
      <c r="AF17" s="49">
        <v>9.1499999999999998E-2</v>
      </c>
      <c r="AG17" s="44"/>
    </row>
    <row r="18" spans="1:33" ht="15" customHeight="1">
      <c r="A18" s="62" t="s">
        <v>121</v>
      </c>
      <c r="B18" s="83" t="s">
        <v>203</v>
      </c>
      <c r="C18" s="1"/>
      <c r="D18" s="1">
        <f>D17-D16</f>
        <v>-613</v>
      </c>
      <c r="E18" s="79" t="s">
        <v>164</v>
      </c>
      <c r="F18" s="80">
        <v>270.851</v>
      </c>
      <c r="G18" s="1"/>
      <c r="H18" s="1"/>
      <c r="I18" s="116"/>
      <c r="J18" s="1"/>
      <c r="K18" s="1"/>
      <c r="O18" s="1"/>
      <c r="P18" s="1"/>
      <c r="T18" s="1"/>
      <c r="U18" s="36">
        <v>2041</v>
      </c>
      <c r="V18" s="69">
        <v>4.3632999999999997</v>
      </c>
      <c r="W18" s="69">
        <v>0.81559999999999999</v>
      </c>
      <c r="X18" s="37" t="s">
        <v>51</v>
      </c>
      <c r="Y18" s="69">
        <v>3.8494999999999999</v>
      </c>
      <c r="Z18" s="74">
        <f t="shared" si="0"/>
        <v>139009.10580000002</v>
      </c>
      <c r="AA18" s="74">
        <f t="shared" ca="1" si="1"/>
        <v>157874.54197776341</v>
      </c>
      <c r="AC18" s="45" t="s">
        <v>93</v>
      </c>
      <c r="AD18" s="50">
        <v>0.90300000000000002</v>
      </c>
      <c r="AE18" s="52">
        <v>5.4999999999999997E-3</v>
      </c>
      <c r="AF18" s="50">
        <v>9.7000000000000003E-2</v>
      </c>
      <c r="AG18" s="45"/>
    </row>
    <row r="19" spans="1:33" ht="15" customHeight="1">
      <c r="A19" s="58" t="s">
        <v>57</v>
      </c>
      <c r="B19" s="41" t="s">
        <v>140</v>
      </c>
      <c r="C19" s="1"/>
      <c r="D19" s="1"/>
      <c r="E19" s="79" t="s">
        <v>41</v>
      </c>
      <c r="F19" s="80">
        <v>258.29899999999998</v>
      </c>
      <c r="G19" s="1"/>
      <c r="H19" s="1"/>
      <c r="I19" s="1"/>
      <c r="J19" s="1"/>
      <c r="K19" s="1"/>
      <c r="O19" s="1"/>
      <c r="P19" s="1"/>
      <c r="T19" s="1"/>
      <c r="U19" s="38">
        <v>2042</v>
      </c>
      <c r="V19" s="68">
        <v>4.7560000000000002</v>
      </c>
      <c r="W19" s="68">
        <v>0.88900000000000001</v>
      </c>
      <c r="X19" s="39" t="s">
        <v>51</v>
      </c>
      <c r="Y19" s="68">
        <v>4.1959</v>
      </c>
      <c r="Z19" s="73">
        <f t="shared" si="0"/>
        <v>155697.03928000003</v>
      </c>
      <c r="AA19" s="73">
        <f t="shared" ca="1" si="1"/>
        <v>176790.10517776341</v>
      </c>
      <c r="AC19" s="44" t="s">
        <v>94</v>
      </c>
      <c r="AD19" s="49">
        <v>0.89749999999999996</v>
      </c>
      <c r="AE19" s="51">
        <v>5.4999999999999997E-3</v>
      </c>
      <c r="AF19" s="49">
        <v>0.10249999999999999</v>
      </c>
      <c r="AG19" s="44"/>
    </row>
    <row r="20" spans="1:33" ht="15" customHeight="1">
      <c r="A20" s="62" t="s">
        <v>122</v>
      </c>
      <c r="B20" s="83" t="s">
        <v>208</v>
      </c>
      <c r="C20" s="1"/>
      <c r="D20" s="1"/>
      <c r="E20" s="79" t="s">
        <v>42</v>
      </c>
      <c r="F20" s="80">
        <v>205.49600000000001</v>
      </c>
      <c r="G20" s="1"/>
      <c r="H20" s="1"/>
      <c r="I20" s="1"/>
      <c r="J20" s="1"/>
      <c r="K20" s="1"/>
      <c r="O20" s="1"/>
      <c r="P20" s="1"/>
      <c r="T20" s="1"/>
      <c r="U20" s="36">
        <v>2043</v>
      </c>
      <c r="V20" s="69">
        <v>5.1840000000000002</v>
      </c>
      <c r="W20" s="69">
        <v>0.96899999999999997</v>
      </c>
      <c r="X20" s="37" t="s">
        <v>51</v>
      </c>
      <c r="Y20" s="69">
        <v>4.5735000000000001</v>
      </c>
      <c r="Z20" s="74">
        <f t="shared" si="0"/>
        <v>173886.76348000002</v>
      </c>
      <c r="AA20" s="74">
        <f t="shared" ca="1" si="1"/>
        <v>197407.90997776343</v>
      </c>
      <c r="AC20" s="45" t="s">
        <v>95</v>
      </c>
      <c r="AD20" s="50">
        <v>0.89200000000000002</v>
      </c>
      <c r="AE20" s="52">
        <v>5.4999999999999997E-3</v>
      </c>
      <c r="AF20" s="50">
        <v>0.108</v>
      </c>
      <c r="AG20" s="45"/>
    </row>
    <row r="21" spans="1:33" ht="15" customHeight="1">
      <c r="A21" s="62" t="s">
        <v>185</v>
      </c>
      <c r="B21" s="126">
        <v>15</v>
      </c>
      <c r="C21" s="1"/>
      <c r="E21" s="79" t="s">
        <v>43</v>
      </c>
      <c r="F21" s="80">
        <v>164.71299999999999</v>
      </c>
      <c r="G21" s="1"/>
      <c r="H21" s="6"/>
      <c r="I21" s="1"/>
      <c r="J21" s="1"/>
      <c r="K21" s="1"/>
      <c r="N21" s="1"/>
      <c r="O21" s="1"/>
      <c r="P21" s="1"/>
      <c r="Q21" s="1"/>
      <c r="R21" s="1"/>
      <c r="S21" s="1"/>
      <c r="T21" s="1"/>
      <c r="U21" s="38">
        <v>2044</v>
      </c>
      <c r="V21" s="68">
        <v>5.6505999999999998</v>
      </c>
      <c r="W21" s="68">
        <v>1.0562</v>
      </c>
      <c r="X21" s="39" t="s">
        <v>51</v>
      </c>
      <c r="Y21" s="68">
        <v>4.9851999999999999</v>
      </c>
      <c r="Z21" s="73">
        <f t="shared" si="0"/>
        <v>193713.90092000001</v>
      </c>
      <c r="AA21" s="73">
        <f t="shared" ca="1" si="1"/>
        <v>219881.47629776341</v>
      </c>
      <c r="AC21" s="44" t="s">
        <v>96</v>
      </c>
      <c r="AD21" s="49">
        <v>0.88649999999999995</v>
      </c>
      <c r="AE21" s="51">
        <v>5.4999999999999997E-3</v>
      </c>
      <c r="AF21" s="49">
        <v>0.1135</v>
      </c>
      <c r="AG21" s="44"/>
    </row>
    <row r="22" spans="1:33" ht="15" customHeight="1">
      <c r="A22" s="62" t="s">
        <v>187</v>
      </c>
      <c r="B22" s="130">
        <v>0.875</v>
      </c>
      <c r="D22" s="1"/>
      <c r="E22" s="79" t="s">
        <v>44</v>
      </c>
      <c r="F22" s="80">
        <v>136.21100000000001</v>
      </c>
      <c r="G22" s="1"/>
      <c r="H22" s="1"/>
      <c r="I22" s="1"/>
      <c r="J22" s="1"/>
      <c r="K22" s="1"/>
      <c r="N22" s="1"/>
      <c r="O22" s="1"/>
      <c r="P22" s="1"/>
      <c r="Q22" s="1"/>
      <c r="R22" s="1"/>
      <c r="S22" s="1"/>
      <c r="T22" s="1"/>
      <c r="U22" s="36">
        <v>2045</v>
      </c>
      <c r="V22" s="69">
        <v>6.1592000000000002</v>
      </c>
      <c r="W22" s="69">
        <v>1.1513</v>
      </c>
      <c r="X22" s="37" t="s">
        <v>51</v>
      </c>
      <c r="Y22" s="69">
        <v>5.4339000000000004</v>
      </c>
      <c r="Z22" s="74">
        <f t="shared" si="0"/>
        <v>215325.60800000001</v>
      </c>
      <c r="AA22" s="74">
        <f t="shared" ca="1" si="1"/>
        <v>244377.8465377634</v>
      </c>
      <c r="AC22" s="45" t="s">
        <v>97</v>
      </c>
      <c r="AD22" s="50">
        <v>0.88100000000000001</v>
      </c>
      <c r="AE22" s="52">
        <v>5.4999999999999997E-3</v>
      </c>
      <c r="AF22" s="50">
        <v>0.11899999999999999</v>
      </c>
      <c r="AG22" s="45"/>
    </row>
    <row r="23" spans="1:33" ht="15" customHeight="1">
      <c r="A23" s="129" t="s">
        <v>192</v>
      </c>
      <c r="B23" s="126">
        <v>30</v>
      </c>
      <c r="C23" s="1"/>
      <c r="E23" s="79" t="s">
        <v>45</v>
      </c>
      <c r="F23" s="80">
        <v>158.06200000000001</v>
      </c>
      <c r="G23" s="5"/>
      <c r="H23" s="1"/>
      <c r="I23" s="1"/>
      <c r="J23" s="1"/>
      <c r="K23" s="1"/>
      <c r="N23" s="1"/>
      <c r="O23" s="1"/>
      <c r="P23" s="1"/>
      <c r="Q23" s="1"/>
      <c r="R23" s="1"/>
      <c r="S23" s="1"/>
      <c r="T23" s="1"/>
      <c r="U23" s="64">
        <v>2046</v>
      </c>
      <c r="V23" s="70">
        <f>V22*1.09</f>
        <v>6.7135280000000011</v>
      </c>
      <c r="W23" s="70">
        <f>W22*1.09</f>
        <v>1.2549170000000001</v>
      </c>
      <c r="X23" s="71">
        <v>0.3</v>
      </c>
      <c r="Y23" s="70">
        <v>5.9229000000000003</v>
      </c>
      <c r="Z23" s="75">
        <f t="shared" si="0"/>
        <v>238882.16588000002</v>
      </c>
      <c r="AA23" s="75">
        <f t="shared" ca="1" si="1"/>
        <v>271078.8900993634</v>
      </c>
      <c r="AC23" s="65">
        <v>20</v>
      </c>
      <c r="AD23" s="66">
        <f>AD22*0.9938</f>
        <v>0.87553780000000003</v>
      </c>
      <c r="AE23" s="67">
        <v>5.4999999999999997E-3</v>
      </c>
      <c r="AF23" s="66">
        <f>AF22*AF21/AF20</f>
        <v>0.12506018518518519</v>
      </c>
      <c r="AG23" s="65"/>
    </row>
    <row r="24" spans="1:33" ht="15" customHeight="1">
      <c r="A24" s="62" t="s">
        <v>123</v>
      </c>
      <c r="B24" s="83" t="s">
        <v>206</v>
      </c>
      <c r="C24" s="1"/>
      <c r="E24" s="79" t="s">
        <v>46</v>
      </c>
      <c r="F24" s="80">
        <v>195.36699999999999</v>
      </c>
      <c r="G24" s="6"/>
      <c r="H24" s="6"/>
      <c r="I24" s="1"/>
      <c r="J24" s="1"/>
      <c r="K24" s="1"/>
      <c r="N24" s="1"/>
      <c r="O24" s="1"/>
      <c r="P24" s="1"/>
      <c r="Q24" s="1"/>
      <c r="R24" s="1"/>
      <c r="S24" s="1"/>
      <c r="T24" s="1"/>
      <c r="U24" s="36">
        <v>2047</v>
      </c>
      <c r="V24" s="69">
        <v>7.3177000000000003</v>
      </c>
      <c r="W24" s="69">
        <v>1.3677999999999999</v>
      </c>
      <c r="X24" s="37" t="s">
        <v>51</v>
      </c>
      <c r="Y24" s="69">
        <v>6.4560000000000004</v>
      </c>
      <c r="Z24" s="74">
        <f t="shared" si="0"/>
        <v>264558.96908000001</v>
      </c>
      <c r="AA24" s="74">
        <f t="shared" ca="1" si="1"/>
        <v>300182.84653936338</v>
      </c>
      <c r="AC24" s="45" t="s">
        <v>98</v>
      </c>
      <c r="AD24" s="50">
        <v>0.87</v>
      </c>
      <c r="AE24" s="52">
        <v>5.4999999999999997E-3</v>
      </c>
      <c r="AF24" s="50">
        <v>0.13</v>
      </c>
      <c r="AG24" s="45"/>
    </row>
    <row r="25" spans="1:33" ht="15" customHeight="1">
      <c r="A25" s="62" t="s">
        <v>190</v>
      </c>
      <c r="B25" s="83">
        <v>1</v>
      </c>
      <c r="C25" s="1"/>
      <c r="E25" s="79" t="s">
        <v>47</v>
      </c>
      <c r="F25" s="80">
        <v>202.94900000000001</v>
      </c>
      <c r="G25" s="13"/>
      <c r="H25" s="10"/>
      <c r="I25" s="1"/>
      <c r="J25" s="1"/>
      <c r="K25" s="1"/>
      <c r="N25" s="1"/>
      <c r="O25" s="1"/>
      <c r="P25" s="1"/>
      <c r="Q25" s="1"/>
      <c r="R25" s="1"/>
      <c r="S25" s="1"/>
      <c r="T25" s="1"/>
      <c r="U25" s="38">
        <v>2048</v>
      </c>
      <c r="V25" s="68">
        <v>7.9763000000000002</v>
      </c>
      <c r="W25" s="68">
        <v>1.4908999999999999</v>
      </c>
      <c r="X25" s="39" t="s">
        <v>51</v>
      </c>
      <c r="Y25" s="68">
        <v>7.0369999999999999</v>
      </c>
      <c r="Z25" s="73">
        <f t="shared" si="0"/>
        <v>292546.52548000001</v>
      </c>
      <c r="AA25" s="73">
        <f t="shared" ca="1" si="1"/>
        <v>331906.18689936341</v>
      </c>
      <c r="AC25" s="44" t="s">
        <v>99</v>
      </c>
      <c r="AD25" s="49">
        <v>0.86450000000000005</v>
      </c>
      <c r="AE25" s="51">
        <v>5.4999999999999997E-3</v>
      </c>
      <c r="AF25" s="49">
        <v>0.13550000000000001</v>
      </c>
      <c r="AG25" s="44"/>
    </row>
    <row r="26" spans="1:33" ht="15" customHeight="1">
      <c r="A26" s="62" t="s">
        <v>186</v>
      </c>
      <c r="B26" s="126">
        <v>10</v>
      </c>
      <c r="C26" s="1"/>
      <c r="D26" s="14"/>
      <c r="E26" s="79" t="s">
        <v>48</v>
      </c>
      <c r="F26" s="80">
        <v>264.584</v>
      </c>
      <c r="G26" s="13"/>
      <c r="H26" s="1"/>
      <c r="I26" s="1"/>
      <c r="J26" s="1"/>
      <c r="K26" s="1"/>
      <c r="N26" s="1"/>
      <c r="O26" s="1"/>
      <c r="P26" s="1"/>
      <c r="Q26" s="1"/>
      <c r="R26" s="1"/>
      <c r="S26" s="1"/>
      <c r="T26" s="1"/>
      <c r="U26" s="36">
        <v>2049</v>
      </c>
      <c r="V26" s="69">
        <v>8.6942000000000004</v>
      </c>
      <c r="W26" s="69">
        <v>1.6251</v>
      </c>
      <c r="X26" s="37" t="s">
        <v>51</v>
      </c>
      <c r="Y26" s="69">
        <v>7.6703999999999999</v>
      </c>
      <c r="Z26" s="74">
        <f t="shared" si="0"/>
        <v>323053.24036</v>
      </c>
      <c r="AA26" s="74">
        <f t="shared" ca="1" si="1"/>
        <v>366484.75913936342</v>
      </c>
      <c r="AC26" s="45" t="s">
        <v>100</v>
      </c>
      <c r="AD26" s="50">
        <v>0.85899999999999999</v>
      </c>
      <c r="AE26" s="52">
        <v>5.4999999999999997E-3</v>
      </c>
      <c r="AF26" s="50">
        <v>0.14099999999999999</v>
      </c>
      <c r="AG26" s="45"/>
    </row>
    <row r="27" spans="1:33" ht="15" customHeight="1">
      <c r="A27" s="129" t="s">
        <v>191</v>
      </c>
      <c r="B27" s="126" t="s">
        <v>207</v>
      </c>
      <c r="C27" s="1"/>
      <c r="D27" s="14"/>
      <c r="E27" s="79" t="s">
        <v>49</v>
      </c>
      <c r="F27" s="80">
        <v>311.58100000000002</v>
      </c>
      <c r="G27" s="1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38">
        <v>2050</v>
      </c>
      <c r="V27" s="68">
        <v>9.4765999999999995</v>
      </c>
      <c r="W27" s="68">
        <v>1.7714000000000001</v>
      </c>
      <c r="X27" s="39" t="s">
        <v>51</v>
      </c>
      <c r="Y27" s="68">
        <v>8.3605999999999998</v>
      </c>
      <c r="Z27" s="73">
        <f t="shared" si="0"/>
        <v>356305.01867999998</v>
      </c>
      <c r="AA27" s="73">
        <f t="shared" ca="1" si="1"/>
        <v>404175.09265936341</v>
      </c>
      <c r="AC27" s="44" t="s">
        <v>101</v>
      </c>
      <c r="AD27" s="49">
        <v>0.85350000000000004</v>
      </c>
      <c r="AE27" s="51">
        <v>5.4999999999999997E-3</v>
      </c>
      <c r="AF27" s="49">
        <v>0.14649999999999999</v>
      </c>
      <c r="AG27" s="44"/>
    </row>
    <row r="28" spans="1:33" ht="15.6">
      <c r="A28" s="62" t="s">
        <v>120</v>
      </c>
      <c r="B28" s="83" t="s">
        <v>205</v>
      </c>
      <c r="C28" s="1"/>
      <c r="D28" s="6"/>
      <c r="E28" s="79" t="s">
        <v>156</v>
      </c>
      <c r="F28" s="80">
        <v>338.03800000000001</v>
      </c>
      <c r="G28" s="81"/>
      <c r="H28" s="81"/>
      <c r="I28" s="81"/>
      <c r="J28" s="81"/>
      <c r="K28" s="81"/>
      <c r="L28" s="81"/>
      <c r="M28" s="81"/>
      <c r="N28" s="1"/>
      <c r="O28" s="1"/>
      <c r="P28" s="1"/>
      <c r="Q28" s="1"/>
      <c r="R28" s="1"/>
      <c r="S28" s="1"/>
      <c r="T28" s="1"/>
      <c r="U28" s="36">
        <v>2051</v>
      </c>
      <c r="V28" s="69">
        <v>10.329499999999999</v>
      </c>
      <c r="W28" s="69">
        <v>1.9308000000000001</v>
      </c>
      <c r="X28" s="37" t="s">
        <v>51</v>
      </c>
      <c r="Y28" s="69">
        <v>9.1130999999999993</v>
      </c>
      <c r="Z28" s="74">
        <f t="shared" si="0"/>
        <v>392549.63999999996</v>
      </c>
      <c r="AA28" s="74">
        <f t="shared" ca="1" si="1"/>
        <v>445257.58005936339</v>
      </c>
      <c r="AC28" s="45" t="s">
        <v>102</v>
      </c>
      <c r="AD28" s="50">
        <v>0.84799999999999998</v>
      </c>
      <c r="AE28" s="52">
        <v>5.4999999999999997E-3</v>
      </c>
      <c r="AF28" s="50">
        <v>0.152</v>
      </c>
      <c r="AG28" s="45" t="s">
        <v>105</v>
      </c>
    </row>
    <row r="29" spans="1:33" ht="17.399999999999999">
      <c r="A29" s="62" t="s">
        <v>184</v>
      </c>
      <c r="B29" s="135" t="s">
        <v>193</v>
      </c>
      <c r="C29" s="1"/>
      <c r="D29" s="1"/>
      <c r="E29" s="1"/>
      <c r="F29" s="7"/>
      <c r="G29" s="82"/>
      <c r="H29" s="82"/>
      <c r="I29" s="82"/>
      <c r="J29" s="82"/>
      <c r="K29" s="82"/>
      <c r="L29" s="82"/>
      <c r="M29" s="82"/>
      <c r="N29" s="81"/>
      <c r="O29" s="81"/>
      <c r="P29" s="81"/>
      <c r="Q29" s="82"/>
      <c r="R29" s="1"/>
      <c r="S29" s="1"/>
      <c r="T29" s="1"/>
      <c r="U29" s="1"/>
      <c r="V29" s="1"/>
      <c r="AC29" s="46" t="s">
        <v>106</v>
      </c>
      <c r="AD29" s="46"/>
      <c r="AE29" s="46"/>
      <c r="AF29" s="46"/>
      <c r="AG29" s="46"/>
    </row>
    <row r="30" spans="1:33" ht="17.399999999999999">
      <c r="A30" s="62" t="s">
        <v>163</v>
      </c>
      <c r="B30" s="127"/>
      <c r="C30" s="1"/>
      <c r="D30" s="1"/>
      <c r="E30" s="1"/>
      <c r="F30" s="7"/>
      <c r="G30" s="1"/>
      <c r="H30" s="1"/>
      <c r="I30" s="1"/>
      <c r="J30" s="1"/>
      <c r="K30" s="1"/>
      <c r="L30" s="1"/>
      <c r="M30" s="1"/>
      <c r="N30" s="82"/>
      <c r="O30" s="82"/>
      <c r="P30" s="82"/>
      <c r="Q30" s="82"/>
      <c r="R30" s="1"/>
      <c r="S30" s="1"/>
      <c r="T30" s="1"/>
      <c r="U30" s="1" t="s">
        <v>59</v>
      </c>
      <c r="V30" s="1"/>
      <c r="AC30" s="147" t="s">
        <v>107</v>
      </c>
      <c r="AD30" s="147"/>
      <c r="AE30" s="147"/>
      <c r="AF30" s="147"/>
      <c r="AG30" s="47" t="s">
        <v>103</v>
      </c>
    </row>
    <row r="31" spans="1:33" ht="18" thickBot="1">
      <c r="A31" s="84" t="s">
        <v>27</v>
      </c>
      <c r="B31" s="88">
        <f>G10</f>
        <v>3.75</v>
      </c>
      <c r="C31" s="82"/>
      <c r="D31" s="1"/>
      <c r="E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40" t="s">
        <v>25</v>
      </c>
      <c r="V31" s="40" t="s">
        <v>55</v>
      </c>
      <c r="W31" s="40" t="s">
        <v>54</v>
      </c>
      <c r="X31" s="40" t="s">
        <v>53</v>
      </c>
      <c r="Y31" s="40" t="s">
        <v>52</v>
      </c>
      <c r="Z31" s="63"/>
      <c r="AA31" s="63"/>
      <c r="AC31" s="148" t="s">
        <v>108</v>
      </c>
      <c r="AD31" s="148"/>
      <c r="AE31" s="148"/>
      <c r="AF31" s="148"/>
      <c r="AG31" s="48" t="s">
        <v>76</v>
      </c>
    </row>
    <row r="32" spans="1:33" ht="17.399999999999999">
      <c r="A32" s="84" t="s">
        <v>28</v>
      </c>
      <c r="B32" s="91">
        <f>G11</f>
        <v>6</v>
      </c>
      <c r="D32" s="85"/>
      <c r="E32" s="1"/>
      <c r="F32" s="53"/>
      <c r="G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38">
        <v>2026</v>
      </c>
      <c r="V32" s="38">
        <v>1.1979</v>
      </c>
      <c r="W32" s="68">
        <v>0.22389999999999999</v>
      </c>
      <c r="X32" s="39" t="s">
        <v>56</v>
      </c>
      <c r="Y32" s="68">
        <v>1.1576</v>
      </c>
      <c r="Z32" s="73">
        <f>Y32*$B$35*12</f>
        <v>4604.0067199999994</v>
      </c>
      <c r="AA32" s="73">
        <f ca="1">V32*$D$35*12</f>
        <v>5401.8187377634413</v>
      </c>
      <c r="AC32" s="147" t="s">
        <v>109</v>
      </c>
      <c r="AD32" s="147"/>
      <c r="AE32" s="147"/>
      <c r="AF32" s="147"/>
      <c r="AG32" s="47" t="s">
        <v>104</v>
      </c>
    </row>
    <row r="33" spans="1:33" ht="17.399999999999999">
      <c r="A33" s="84" t="s">
        <v>50</v>
      </c>
      <c r="B33" s="88">
        <f>B32*(1.14*2.38)+(1.14*2.38*2)</f>
        <v>21.705599999999997</v>
      </c>
      <c r="D33" s="9" t="s">
        <v>195</v>
      </c>
      <c r="E33" s="54" t="s">
        <v>112</v>
      </c>
      <c r="F33" s="7" t="s">
        <v>113</v>
      </c>
      <c r="G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36">
        <v>2027</v>
      </c>
      <c r="V33" s="36">
        <v>1.3057000000000001</v>
      </c>
      <c r="W33" s="69">
        <v>0.24410000000000001</v>
      </c>
      <c r="X33" s="37" t="s">
        <v>56</v>
      </c>
      <c r="Y33" s="69">
        <v>1.2507999999999999</v>
      </c>
      <c r="Z33" s="74">
        <f t="shared" ref="Z33:Z57" si="4">Y33*$B$35*12+Z32</f>
        <v>9578.6884799999989</v>
      </c>
      <c r="AA33" s="74">
        <f t="shared" ref="AA33:AA57" ca="1" si="5">$B$35*V33*12+AA32</f>
        <v>10594.848777763442</v>
      </c>
      <c r="AC33" s="148" t="s">
        <v>110</v>
      </c>
      <c r="AD33" s="148"/>
      <c r="AE33" s="148"/>
      <c r="AF33" s="148"/>
      <c r="AG33" s="48" t="s">
        <v>111</v>
      </c>
    </row>
    <row r="34" spans="1:33" ht="17.399999999999999">
      <c r="A34" s="84" t="s">
        <v>29</v>
      </c>
      <c r="B34" s="136">
        <f ca="1">B15</f>
        <v>11624.697336561743</v>
      </c>
      <c r="C34" s="124" t="s">
        <v>194</v>
      </c>
      <c r="D34" s="132">
        <f ca="1">PMT(E34, 18, -R15, 0, 0)</f>
        <v>815.64868794536892</v>
      </c>
      <c r="E34" s="57">
        <v>2.3900000000000001E-2</v>
      </c>
      <c r="F34" s="138">
        <v>18</v>
      </c>
      <c r="G34" t="s">
        <v>197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38">
        <v>2028</v>
      </c>
      <c r="V34" s="38">
        <v>1.4232</v>
      </c>
      <c r="W34" s="68">
        <v>0.26600000000000001</v>
      </c>
      <c r="X34" s="39" t="s">
        <v>56</v>
      </c>
      <c r="Y34" s="68">
        <v>1.3513999999999999</v>
      </c>
      <c r="Z34" s="73">
        <f t="shared" si="4"/>
        <v>14953.476559999999</v>
      </c>
      <c r="AA34" s="73">
        <f t="shared" ca="1" si="5"/>
        <v>16255.199817763441</v>
      </c>
    </row>
    <row r="35" spans="1:33" ht="17.399999999999999">
      <c r="A35" s="84" t="s">
        <v>30</v>
      </c>
      <c r="B35" s="88">
        <f>G9</f>
        <v>331.43333333333334</v>
      </c>
      <c r="C35" s="124" t="s">
        <v>115</v>
      </c>
      <c r="D35" s="132">
        <f ca="1">PMT(E35,F35,-(B34+F37))</f>
        <v>375.78392309899556</v>
      </c>
      <c r="E35" s="57">
        <v>1.9E-2</v>
      </c>
      <c r="F35" s="143">
        <v>60</v>
      </c>
      <c r="G35" s="53" t="s">
        <v>157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36">
        <v>2029</v>
      </c>
      <c r="V35" s="36">
        <v>1.5512999999999999</v>
      </c>
      <c r="W35" s="69">
        <v>0.28999999999999998</v>
      </c>
      <c r="X35" s="37" t="s">
        <v>56</v>
      </c>
      <c r="Y35" s="69">
        <v>1.4730000000000001</v>
      </c>
      <c r="Z35" s="74">
        <f t="shared" si="4"/>
        <v>20811.892159999999</v>
      </c>
      <c r="AA35" s="74">
        <f t="shared" ca="1" si="5"/>
        <v>22425.030177763441</v>
      </c>
    </row>
    <row r="36" spans="1:33" ht="21" customHeight="1">
      <c r="A36" s="84" t="s">
        <v>159</v>
      </c>
      <c r="B36" s="88">
        <f>B35*12</f>
        <v>3977.2</v>
      </c>
      <c r="C36" s="124" t="s">
        <v>116</v>
      </c>
      <c r="D36" s="132">
        <f ca="1">PMT(E36,F35,-(B34+F37))</f>
        <v>296.92372685846351</v>
      </c>
      <c r="E36" s="57">
        <v>9.9000000000000008E-3</v>
      </c>
      <c r="F36" s="144"/>
      <c r="G36" s="53" t="s">
        <v>158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38">
        <v>2030</v>
      </c>
      <c r="V36" s="38">
        <v>1.6909000000000001</v>
      </c>
      <c r="W36" s="68">
        <v>0.31609999999999999</v>
      </c>
      <c r="X36" s="39" t="s">
        <v>56</v>
      </c>
      <c r="Y36" s="68">
        <v>1.6055999999999999</v>
      </c>
      <c r="Z36" s="73">
        <f t="shared" si="4"/>
        <v>27197.68448</v>
      </c>
      <c r="AA36" s="73">
        <f t="shared" ca="1" si="5"/>
        <v>29150.077657763439</v>
      </c>
    </row>
    <row r="37" spans="1:33" ht="17.399999999999999">
      <c r="A37" s="84" t="s">
        <v>128</v>
      </c>
      <c r="B37" s="136">
        <f>IF(B17="Residencial",Z3/12,IF(B17="Comercial",Z32/12,""))</f>
        <v>365.86925666666667</v>
      </c>
      <c r="C37" s="118"/>
      <c r="E37" s="92" t="s">
        <v>114</v>
      </c>
      <c r="F37" s="132">
        <f ca="1">B34*(0.0038+0.000082*30*F35)</f>
        <v>1759.979176755448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36">
        <v>2031</v>
      </c>
      <c r="V37" s="36">
        <v>1.8431</v>
      </c>
      <c r="W37" s="69">
        <v>0.34449999999999997</v>
      </c>
      <c r="X37" s="37" t="s">
        <v>56</v>
      </c>
      <c r="Y37" s="69">
        <v>1.7501</v>
      </c>
      <c r="Z37" s="74">
        <f t="shared" si="4"/>
        <v>34158.182199999996</v>
      </c>
      <c r="AA37" s="74">
        <f t="shared" ca="1" si="5"/>
        <v>36480.454977763438</v>
      </c>
    </row>
    <row r="38" spans="1:33" ht="17.399999999999999">
      <c r="A38" s="84" t="s">
        <v>31</v>
      </c>
      <c r="B38" s="136">
        <f>IF(B17="Residencial",Z3,IF($B$17="Comercial",Z32,""))</f>
        <v>4390.4310800000003</v>
      </c>
      <c r="C38" s="1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8">
        <v>2032</v>
      </c>
      <c r="V38" s="38">
        <v>2.0089999999999999</v>
      </c>
      <c r="W38" s="68">
        <v>0.3755</v>
      </c>
      <c r="X38" s="39" t="s">
        <v>56</v>
      </c>
      <c r="Y38" s="68">
        <v>1.9076</v>
      </c>
      <c r="Z38" s="73">
        <f t="shared" si="4"/>
        <v>41745.088919999995</v>
      </c>
      <c r="AA38" s="73">
        <f t="shared" ca="1" si="5"/>
        <v>44470.649777763436</v>
      </c>
    </row>
    <row r="39" spans="1:33" ht="17.399999999999999">
      <c r="A39" s="84" t="s">
        <v>32</v>
      </c>
      <c r="B39" s="136">
        <f>IF(B17="Residencial",Z8*AD8,IF(B17="Comercial",Z37*AD8,""))</f>
        <v>30570.799503599999</v>
      </c>
      <c r="C39" s="120"/>
      <c r="E39" s="76"/>
      <c r="G39" s="7"/>
      <c r="H39" s="7"/>
      <c r="I39" s="7"/>
      <c r="J39" s="7"/>
      <c r="K39" s="7"/>
      <c r="L39" s="7"/>
      <c r="M39" s="7"/>
      <c r="N39" s="1"/>
      <c r="O39" s="1"/>
      <c r="P39" s="1"/>
      <c r="Q39" s="1"/>
      <c r="R39" s="1"/>
      <c r="S39" s="1"/>
      <c r="T39" s="1"/>
      <c r="U39" s="36">
        <v>2033</v>
      </c>
      <c r="V39" s="36">
        <v>2.1898</v>
      </c>
      <c r="W39" s="69">
        <v>0.4093</v>
      </c>
      <c r="X39" s="37" t="s">
        <v>56</v>
      </c>
      <c r="Y39" s="69">
        <v>2.0792999999999999</v>
      </c>
      <c r="Z39" s="74">
        <f t="shared" si="4"/>
        <v>50014.880879999997</v>
      </c>
      <c r="AA39" s="74">
        <f t="shared" ca="1" si="5"/>
        <v>53179.922337763433</v>
      </c>
      <c r="AE39" s="72"/>
    </row>
    <row r="40" spans="1:33" ht="17.399999999999999">
      <c r="A40" s="84" t="s">
        <v>33</v>
      </c>
      <c r="B40" s="136">
        <f>IF(B17="Residencial",Z13*AD13,IF(B17="Comercial",Z42*AD13,""))</f>
        <v>68948.577725680007</v>
      </c>
      <c r="C40" s="120"/>
      <c r="G40" s="7"/>
      <c r="H40" s="7"/>
      <c r="I40" s="7"/>
      <c r="J40" s="7"/>
      <c r="K40" s="7"/>
      <c r="L40" s="7"/>
      <c r="M40" s="7"/>
      <c r="N40" s="1"/>
      <c r="O40" s="1"/>
      <c r="P40" s="1"/>
      <c r="Q40" s="1"/>
      <c r="R40" s="1"/>
      <c r="S40" s="1"/>
      <c r="T40" s="1"/>
      <c r="U40" s="38">
        <v>2034</v>
      </c>
      <c r="V40" s="38">
        <v>2.3868999999999998</v>
      </c>
      <c r="W40" s="68">
        <v>0.44619999999999999</v>
      </c>
      <c r="X40" s="39" t="s">
        <v>56</v>
      </c>
      <c r="Y40" s="68">
        <v>2.2664</v>
      </c>
      <c r="Z40" s="73">
        <f t="shared" si="4"/>
        <v>59028.806960000002</v>
      </c>
      <c r="AA40" s="73">
        <f t="shared" ca="1" si="5"/>
        <v>62673.101017763431</v>
      </c>
    </row>
    <row r="41" spans="1:33" ht="17.399999999999999">
      <c r="A41" s="84" t="s">
        <v>129</v>
      </c>
      <c r="B41" s="136">
        <f>IF(B17="Residencial",Z28*AD28,IF(B17="Comercial",Z57*AD28,""))</f>
        <v>332882.09471999994</v>
      </c>
      <c r="C41" s="120"/>
      <c r="F41" s="1"/>
      <c r="G41" s="7"/>
      <c r="H41" s="7"/>
      <c r="I41" s="7"/>
      <c r="J41" s="7"/>
      <c r="K41" s="7"/>
      <c r="L41" s="7"/>
      <c r="M41" s="7"/>
      <c r="N41" s="1"/>
      <c r="O41" s="1"/>
      <c r="P41" s="1"/>
      <c r="Q41" s="1"/>
      <c r="R41" s="1"/>
      <c r="S41" s="1"/>
      <c r="T41" s="1"/>
      <c r="U41" s="36">
        <v>2035</v>
      </c>
      <c r="V41" s="36">
        <v>2.6017000000000001</v>
      </c>
      <c r="W41" s="69">
        <v>0.48630000000000001</v>
      </c>
      <c r="X41" s="37" t="s">
        <v>56</v>
      </c>
      <c r="Y41" s="69">
        <v>2.4704000000000002</v>
      </c>
      <c r="Z41" s="74">
        <f t="shared" si="4"/>
        <v>68854.081839999999</v>
      </c>
      <c r="AA41" s="74">
        <f t="shared" ca="1" si="5"/>
        <v>73020.582257763424</v>
      </c>
    </row>
    <row r="42" spans="1:33" ht="17.399999999999999">
      <c r="A42" s="125" t="s">
        <v>133</v>
      </c>
      <c r="B42" s="136">
        <f>G9*V3</f>
        <v>397.02398999999997</v>
      </c>
      <c r="C42" s="120"/>
      <c r="F42" s="1"/>
      <c r="G42" s="7"/>
      <c r="H42" s="7"/>
      <c r="I42" s="7"/>
      <c r="J42" s="7"/>
      <c r="K42" s="7"/>
      <c r="L42" s="7"/>
      <c r="M42" s="7"/>
      <c r="N42" s="1"/>
      <c r="O42" s="1"/>
      <c r="P42" s="1"/>
      <c r="Q42" s="1"/>
      <c r="R42" s="1"/>
      <c r="S42" s="1"/>
      <c r="T42" s="1"/>
      <c r="U42" s="38">
        <v>2036</v>
      </c>
      <c r="V42" s="38">
        <v>2.8359000000000001</v>
      </c>
      <c r="W42" s="68">
        <v>0.53010000000000002</v>
      </c>
      <c r="X42" s="39" t="s">
        <v>56</v>
      </c>
      <c r="Y42" s="68">
        <v>2.6928000000000001</v>
      </c>
      <c r="Z42" s="73">
        <f t="shared" si="4"/>
        <v>79563.885999999999</v>
      </c>
      <c r="AA42" s="73">
        <f t="shared" ca="1" si="5"/>
        <v>84299.523737763418</v>
      </c>
    </row>
    <row r="43" spans="1:33" ht="17.399999999999999">
      <c r="A43" s="84" t="s">
        <v>134</v>
      </c>
      <c r="B43" s="136">
        <f ca="1">IF($B$17="Residencial",AA3,IF($B$17="Comercial",AA32,""))</f>
        <v>5401.8187377634413</v>
      </c>
      <c r="C43" s="121"/>
      <c r="D43" s="139">
        <f>B42-B37</f>
        <v>31.154733333333297</v>
      </c>
      <c r="F43" s="1"/>
      <c r="G43" s="7"/>
      <c r="H43" s="7"/>
      <c r="I43" s="7"/>
      <c r="J43" s="7"/>
      <c r="K43" s="7"/>
      <c r="L43" s="7"/>
      <c r="M43" s="7"/>
      <c r="N43" s="1"/>
      <c r="O43" s="1"/>
      <c r="P43" s="1"/>
      <c r="Q43" s="1"/>
      <c r="R43" s="1"/>
      <c r="S43" s="1"/>
      <c r="T43" s="1"/>
      <c r="U43" s="36">
        <v>2037</v>
      </c>
      <c r="V43" s="36">
        <v>3.0911</v>
      </c>
      <c r="W43" s="69">
        <v>0.57779999999999998</v>
      </c>
      <c r="X43" s="37" t="s">
        <v>56</v>
      </c>
      <c r="Y43" s="69">
        <v>2.9350999999999998</v>
      </c>
      <c r="Z43" s="74">
        <f t="shared" si="4"/>
        <v>91237.365720000002</v>
      </c>
      <c r="AA43" s="74">
        <f t="shared" ca="1" si="5"/>
        <v>96593.446657763416</v>
      </c>
    </row>
    <row r="44" spans="1:33" ht="17.399999999999999">
      <c r="A44" s="84" t="s">
        <v>135</v>
      </c>
      <c r="B44" s="136">
        <f ca="1">IF($B$17="Residencial",AA8,IF($B$17="Comercial",AA37,""))</f>
        <v>36480.454977763438</v>
      </c>
      <c r="C44" s="120"/>
      <c r="F44" s="1"/>
      <c r="G44" s="7"/>
      <c r="H44" s="7"/>
      <c r="I44" s="7"/>
      <c r="J44" s="7"/>
      <c r="K44" s="7"/>
      <c r="L44" s="7"/>
      <c r="M44" s="7"/>
      <c r="N44" s="1"/>
      <c r="O44" s="1"/>
      <c r="P44" s="1"/>
      <c r="Q44" s="1"/>
      <c r="R44" s="1"/>
      <c r="S44" s="1"/>
      <c r="T44" s="1"/>
      <c r="U44" s="38">
        <v>2038</v>
      </c>
      <c r="V44" s="38">
        <v>3.3693</v>
      </c>
      <c r="W44" s="68">
        <v>0.62980000000000003</v>
      </c>
      <c r="X44" s="39" t="s">
        <v>56</v>
      </c>
      <c r="Y44" s="68">
        <v>3.1993</v>
      </c>
      <c r="Z44" s="73">
        <f t="shared" si="4"/>
        <v>103961.62168</v>
      </c>
      <c r="AA44" s="73">
        <f t="shared" ca="1" si="5"/>
        <v>109993.82661776341</v>
      </c>
    </row>
    <row r="45" spans="1:33" ht="17.399999999999999">
      <c r="A45" s="84" t="s">
        <v>136</v>
      </c>
      <c r="B45" s="136">
        <f ca="1">IF($B$17="Residencial",AA13,IF($B$17="Comercial",AA42,""))</f>
        <v>84299.523737763418</v>
      </c>
      <c r="C45" s="120"/>
      <c r="E45" s="7"/>
      <c r="F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6">
        <v>2039</v>
      </c>
      <c r="V45" s="36">
        <v>3.6724999999999999</v>
      </c>
      <c r="W45" s="69">
        <v>0.6865</v>
      </c>
      <c r="X45" s="37" t="s">
        <v>56</v>
      </c>
      <c r="Y45" s="69">
        <v>3.4870999999999999</v>
      </c>
      <c r="Z45" s="74">
        <f t="shared" si="4"/>
        <v>117830.51579999999</v>
      </c>
      <c r="AA45" s="74">
        <f t="shared" ca="1" si="5"/>
        <v>124600.0936177634</v>
      </c>
    </row>
    <row r="46" spans="1:33" ht="17.399999999999999">
      <c r="A46" s="84" t="s">
        <v>137</v>
      </c>
      <c r="B46" s="136">
        <f ca="1">IF($B$17="Residencial",AA28,IF($B$17="Comercial",AA57,""))</f>
        <v>445257.58005936339</v>
      </c>
      <c r="C46" s="121"/>
      <c r="E46" s="7"/>
      <c r="F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8">
        <v>2040</v>
      </c>
      <c r="V46" s="38">
        <v>4.0030000000000001</v>
      </c>
      <c r="W46" s="68">
        <v>0.74829999999999997</v>
      </c>
      <c r="X46" s="39" t="s">
        <v>56</v>
      </c>
      <c r="Y46" s="68">
        <v>3.8010000000000002</v>
      </c>
      <c r="Z46" s="73">
        <f t="shared" si="4"/>
        <v>132947.853</v>
      </c>
      <c r="AA46" s="73">
        <f t="shared" ca="1" si="5"/>
        <v>140520.8252177634</v>
      </c>
    </row>
    <row r="47" spans="1:33" ht="17.399999999999999">
      <c r="A47" s="84" t="s">
        <v>119</v>
      </c>
      <c r="B47" s="137" t="str">
        <f ca="1">INT(B15/(B38+B38*0.06)*12) &amp; " meses"</f>
        <v>29 meses</v>
      </c>
      <c r="C47" s="122"/>
      <c r="E47" s="7"/>
      <c r="F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36">
        <v>2041</v>
      </c>
      <c r="V47" s="36">
        <v>4.3632999999999997</v>
      </c>
      <c r="W47" s="69">
        <v>0.81559999999999999</v>
      </c>
      <c r="X47" s="37" t="s">
        <v>56</v>
      </c>
      <c r="Y47" s="69">
        <v>4.1430999999999996</v>
      </c>
      <c r="Z47" s="74">
        <f t="shared" si="4"/>
        <v>149425.79032</v>
      </c>
      <c r="AA47" s="74">
        <f t="shared" ca="1" si="5"/>
        <v>157874.54197776341</v>
      </c>
    </row>
    <row r="48" spans="1:33" ht="17.399999999999999">
      <c r="A48" s="89" t="s">
        <v>145</v>
      </c>
      <c r="B48" s="136">
        <f>B35*0.5*W3+15+B35*0.5*0.15</f>
        <v>76.961461666666665</v>
      </c>
      <c r="C48" s="123"/>
      <c r="D48" s="7"/>
      <c r="E48" s="7"/>
      <c r="F48" s="1"/>
      <c r="G48" s="3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38">
        <v>2042</v>
      </c>
      <c r="V48" s="38">
        <v>4.7560000000000002</v>
      </c>
      <c r="W48" s="68">
        <v>0.88900000000000001</v>
      </c>
      <c r="X48" s="39" t="s">
        <v>56</v>
      </c>
      <c r="Y48" s="68">
        <v>4.516</v>
      </c>
      <c r="Z48" s="73">
        <f t="shared" si="4"/>
        <v>167386.82552000001</v>
      </c>
      <c r="AA48" s="73">
        <f t="shared" ca="1" si="5"/>
        <v>176790.10517776341</v>
      </c>
    </row>
    <row r="49" spans="1:27" ht="17.399999999999999">
      <c r="A49" s="90" t="s">
        <v>118</v>
      </c>
      <c r="B49" s="136">
        <f>V7*B35+35</f>
        <v>595.42062333333331</v>
      </c>
      <c r="C49" s="87"/>
      <c r="D49" s="7"/>
      <c r="F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36">
        <v>2043</v>
      </c>
      <c r="V49" s="36">
        <v>5.1840000000000002</v>
      </c>
      <c r="W49" s="69">
        <v>0.96899999999999997</v>
      </c>
      <c r="X49" s="37" t="s">
        <v>56</v>
      </c>
      <c r="Y49" s="69">
        <v>4.9223999999999997</v>
      </c>
      <c r="Z49" s="74">
        <f t="shared" si="4"/>
        <v>186964.1948</v>
      </c>
      <c r="AA49" s="74">
        <f t="shared" ca="1" si="5"/>
        <v>197407.90997776343</v>
      </c>
    </row>
    <row r="50" spans="1:27" ht="15.6">
      <c r="A50" s="90" t="s">
        <v>117</v>
      </c>
      <c r="B50" s="136">
        <f>B35*V13</f>
        <v>939.91179</v>
      </c>
      <c r="C50" s="86"/>
      <c r="F50" s="1"/>
      <c r="G50" s="5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38">
        <v>2044</v>
      </c>
      <c r="V50" s="38">
        <v>5.6505999999999998</v>
      </c>
      <c r="W50" s="68">
        <v>1.0562</v>
      </c>
      <c r="X50" s="39" t="s">
        <v>56</v>
      </c>
      <c r="Y50" s="68">
        <v>5.3654000000000002</v>
      </c>
      <c r="Z50" s="73">
        <f t="shared" si="4"/>
        <v>208303.46367999999</v>
      </c>
      <c r="AA50" s="73">
        <f t="shared" ca="1" si="5"/>
        <v>219881.47629776341</v>
      </c>
    </row>
    <row r="51" spans="1:27" ht="15.6">
      <c r="A51" s="1"/>
      <c r="B51" s="1"/>
      <c r="C51" s="86"/>
      <c r="F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36">
        <v>2045</v>
      </c>
      <c r="V51" s="36">
        <v>6.1592000000000002</v>
      </c>
      <c r="W51" s="69">
        <v>1.1513</v>
      </c>
      <c r="X51" s="37" t="s">
        <v>56</v>
      </c>
      <c r="Y51" s="69">
        <v>5.8483000000000001</v>
      </c>
      <c r="Z51" s="74">
        <f t="shared" si="4"/>
        <v>231563.32243999999</v>
      </c>
      <c r="AA51" s="74">
        <f t="shared" ca="1" si="5"/>
        <v>244377.8465377634</v>
      </c>
    </row>
    <row r="52" spans="1:27" ht="15.6">
      <c r="F52" s="1"/>
      <c r="G52" s="3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38">
        <v>2046</v>
      </c>
      <c r="V52" s="38">
        <f>V51*V51/V50</f>
        <v>6.7135781403744739</v>
      </c>
      <c r="W52" s="68">
        <v>1.2548999999999999</v>
      </c>
      <c r="X52" s="39" t="s">
        <v>56</v>
      </c>
      <c r="Y52" s="68">
        <v>6.3746999999999998</v>
      </c>
      <c r="Z52" s="75">
        <f t="shared" si="4"/>
        <v>256916.77927999999</v>
      </c>
      <c r="AA52" s="75">
        <f t="shared" ca="1" si="5"/>
        <v>271079.08951766073</v>
      </c>
    </row>
    <row r="53" spans="1:27" ht="15.6">
      <c r="F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6">
        <v>2047</v>
      </c>
      <c r="V53" s="36">
        <f>V52*V52/V51</f>
        <v>7.317854826424532</v>
      </c>
      <c r="W53" s="69">
        <v>1.3677999999999999</v>
      </c>
      <c r="X53" s="37" t="s">
        <v>56</v>
      </c>
      <c r="Y53" s="69">
        <v>6.9484000000000004</v>
      </c>
      <c r="Z53" s="74">
        <f t="shared" si="4"/>
        <v>284551.95575999998</v>
      </c>
      <c r="AA53" s="74">
        <f t="shared" ca="1" si="5"/>
        <v>300183.66173331637</v>
      </c>
    </row>
    <row r="54" spans="1:27" ht="15.6">
      <c r="F54" s="1"/>
      <c r="G54" s="5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8">
        <v>2048</v>
      </c>
      <c r="V54" s="38">
        <v>7.9763000000000002</v>
      </c>
      <c r="W54" s="68">
        <v>1.4908999999999999</v>
      </c>
      <c r="X54" s="39" t="s">
        <v>56</v>
      </c>
      <c r="Y54" s="68">
        <v>7.5738000000000003</v>
      </c>
      <c r="Z54" s="73">
        <f t="shared" si="4"/>
        <v>314674.47311999998</v>
      </c>
      <c r="AA54" s="73">
        <f t="shared" ca="1" si="5"/>
        <v>331907.00209331641</v>
      </c>
    </row>
    <row r="55" spans="1:27" ht="15.6">
      <c r="F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6">
        <v>2049</v>
      </c>
      <c r="V55" s="36">
        <v>8.6942000000000004</v>
      </c>
      <c r="W55" s="69">
        <v>1.6251</v>
      </c>
      <c r="X55" s="37" t="s">
        <v>56</v>
      </c>
      <c r="Y55" s="69">
        <v>8.2553999999999998</v>
      </c>
      <c r="Z55" s="74">
        <f t="shared" si="4"/>
        <v>347507.85</v>
      </c>
      <c r="AA55" s="74">
        <f t="shared" ca="1" si="5"/>
        <v>366485.57433331641</v>
      </c>
    </row>
    <row r="56" spans="1:27" ht="15.6">
      <c r="F56" s="1"/>
      <c r="G56" s="3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8">
        <v>2050</v>
      </c>
      <c r="V56" s="38">
        <v>9.4765999999999995</v>
      </c>
      <c r="W56" s="68">
        <v>1.7714000000000001</v>
      </c>
      <c r="X56" s="39" t="s">
        <v>56</v>
      </c>
      <c r="Y56" s="68">
        <v>8.9983000000000004</v>
      </c>
      <c r="Z56" s="73">
        <f t="shared" si="4"/>
        <v>383295.88876</v>
      </c>
      <c r="AA56" s="73">
        <f t="shared" ca="1" si="5"/>
        <v>404175.9078533164</v>
      </c>
    </row>
    <row r="57" spans="1:27" ht="15.6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6">
        <v>2051</v>
      </c>
      <c r="V57" s="36">
        <v>10.329499999999999</v>
      </c>
      <c r="W57" s="69">
        <v>1.9308000000000001</v>
      </c>
      <c r="X57" s="37" t="s">
        <v>56</v>
      </c>
      <c r="Y57" s="69">
        <v>9.8081999999999994</v>
      </c>
      <c r="Z57" s="74">
        <f t="shared" si="4"/>
        <v>422305.06180000002</v>
      </c>
      <c r="AA57" s="74">
        <f t="shared" ca="1" si="5"/>
        <v>445258.39525331638</v>
      </c>
    </row>
    <row r="58" spans="1:27" ht="15.6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7" ht="15.6">
      <c r="A59" s="1"/>
      <c r="B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7" ht="15.6">
      <c r="A60" s="1"/>
      <c r="B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7" ht="15.6">
      <c r="A61" s="1"/>
      <c r="B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7" ht="15.6">
      <c r="A62" s="1"/>
      <c r="B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7" ht="15.6">
      <c r="A63" s="1"/>
      <c r="B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7" ht="15.6">
      <c r="A64" s="1"/>
      <c r="B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7.399999999999999">
      <c r="A65" s="1"/>
      <c r="B65" s="1"/>
      <c r="C65" s="34"/>
      <c r="D65" s="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7.399999999999999">
      <c r="A66" s="1"/>
      <c r="B66" s="1"/>
      <c r="C66" s="7"/>
      <c r="D66" s="5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6">
      <c r="A990" s="1"/>
      <c r="B990" s="1"/>
      <c r="C990" s="1"/>
      <c r="D990" s="1"/>
      <c r="E990" s="1"/>
      <c r="G990" s="1"/>
      <c r="H990" s="1"/>
      <c r="I990" s="1"/>
      <c r="J990" s="1"/>
      <c r="K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6">
      <c r="A991" s="1"/>
      <c r="B991" s="1"/>
      <c r="C991" s="1"/>
      <c r="D991" s="1"/>
      <c r="E991" s="1"/>
      <c r="G991" s="1"/>
      <c r="H991" s="1"/>
      <c r="I991" s="1"/>
      <c r="J991" s="1"/>
      <c r="K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6">
      <c r="A992" s="1"/>
      <c r="B992" s="1"/>
      <c r="C992" s="1"/>
      <c r="D992" s="1"/>
      <c r="E992" s="1"/>
      <c r="G992" s="1"/>
      <c r="H992" s="1"/>
      <c r="I992" s="1"/>
      <c r="J992" s="1"/>
      <c r="K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6">
      <c r="A993" s="1"/>
      <c r="B993" s="1"/>
      <c r="C993" s="1"/>
      <c r="D993" s="1"/>
      <c r="E993" s="1"/>
      <c r="G993" s="1"/>
      <c r="H993" s="1"/>
      <c r="I993" s="1"/>
      <c r="J993" s="1"/>
      <c r="K993" s="1"/>
      <c r="O993" s="1"/>
      <c r="P993" s="1"/>
      <c r="Q993" s="1"/>
      <c r="R993" s="1"/>
      <c r="S993" s="1"/>
      <c r="T993" s="1"/>
      <c r="U993" s="1"/>
      <c r="V993" s="1"/>
    </row>
    <row r="994" spans="1:22" ht="15.6">
      <c r="A994" s="1"/>
      <c r="B994" s="1"/>
      <c r="C994" s="1"/>
      <c r="D994" s="1"/>
      <c r="E994" s="1"/>
      <c r="G994" s="1"/>
      <c r="H994" s="1"/>
      <c r="I994" s="1"/>
      <c r="J994" s="1"/>
      <c r="K994" s="1"/>
      <c r="O994" s="1"/>
      <c r="P994" s="1"/>
      <c r="Q994" s="1"/>
      <c r="R994" s="1"/>
      <c r="S994" s="1"/>
      <c r="T994" s="1"/>
      <c r="U994" s="1"/>
      <c r="V994" s="1"/>
    </row>
    <row r="995" spans="1:22" ht="15.6">
      <c r="A995" s="1"/>
      <c r="B995" s="1"/>
      <c r="C995" s="1"/>
      <c r="D995" s="1"/>
      <c r="E995" s="1"/>
      <c r="O995" s="1"/>
      <c r="P995" s="1"/>
      <c r="Q995" s="1"/>
      <c r="R995" s="1"/>
      <c r="S995" s="1"/>
      <c r="T995" s="1"/>
      <c r="U995" s="1"/>
      <c r="V995" s="1"/>
    </row>
    <row r="996" spans="1:22" ht="15.6">
      <c r="C996" s="1"/>
      <c r="D996" s="1"/>
      <c r="E996" s="1"/>
      <c r="P996" s="1"/>
      <c r="Q996" s="1"/>
      <c r="R996" s="1"/>
      <c r="S996" s="1"/>
      <c r="T996" s="1"/>
      <c r="U996" s="1"/>
      <c r="V996" s="1"/>
    </row>
    <row r="997" spans="1:22" ht="15.6">
      <c r="C997" s="1"/>
      <c r="D997" s="1"/>
      <c r="E997" s="1"/>
      <c r="P997" s="1"/>
      <c r="Q997" s="1"/>
      <c r="R997" s="1"/>
      <c r="S997" s="1"/>
      <c r="T997" s="1"/>
      <c r="U997" s="1"/>
      <c r="V997" s="1"/>
    </row>
    <row r="998" spans="1:22" ht="15.6">
      <c r="C998" s="1"/>
      <c r="D998" s="1"/>
      <c r="E998" s="1"/>
      <c r="U998" s="1"/>
      <c r="V998" s="1"/>
    </row>
    <row r="999" spans="1:22" ht="15" customHeight="1">
      <c r="C999" s="1"/>
      <c r="D999" s="1"/>
      <c r="E999" s="1"/>
      <c r="U999" s="1"/>
      <c r="V999" s="1"/>
    </row>
    <row r="1000" spans="1:22" ht="15" customHeight="1">
      <c r="C1000" s="1"/>
      <c r="D1000" s="1"/>
      <c r="E1000" s="1"/>
      <c r="U1000" s="1"/>
      <c r="V1000" s="1"/>
    </row>
    <row r="1001" spans="1:22" ht="15" customHeight="1">
      <c r="C1001" s="1"/>
      <c r="D1001" s="1"/>
      <c r="E1001" s="1"/>
    </row>
    <row r="1002" spans="1:22" ht="15" customHeight="1">
      <c r="C1002" s="1"/>
      <c r="D1002" s="1"/>
      <c r="E1002" s="1"/>
    </row>
    <row r="1003" spans="1:22" ht="15" customHeight="1">
      <c r="C1003" s="1"/>
      <c r="D1003" s="1"/>
      <c r="E1003" s="1"/>
    </row>
    <row r="1004" spans="1:22" ht="15" customHeight="1">
      <c r="C1004" s="1"/>
      <c r="D1004" s="1"/>
      <c r="E1004" s="1"/>
    </row>
    <row r="1005" spans="1:22" ht="15" customHeight="1">
      <c r="C1005" s="1"/>
      <c r="D1005" s="1"/>
      <c r="E1005" s="1"/>
    </row>
    <row r="1006" spans="1:22" ht="15" customHeight="1">
      <c r="C1006" s="1"/>
      <c r="D1006" s="1"/>
      <c r="E1006" s="1"/>
    </row>
    <row r="1007" spans="1:22" ht="15" customHeight="1">
      <c r="C1007" s="1"/>
      <c r="D1007" s="1"/>
      <c r="E1007" s="1"/>
    </row>
    <row r="1008" spans="1:22" ht="15" customHeight="1">
      <c r="C1008" s="1"/>
      <c r="D1008" s="1"/>
      <c r="E1008" s="1"/>
    </row>
    <row r="1009" spans="3:5" ht="15" customHeight="1">
      <c r="C1009" s="1"/>
      <c r="D1009" s="1"/>
      <c r="E1009" s="1"/>
    </row>
    <row r="1010" spans="3:5" ht="15" customHeight="1">
      <c r="C1010" s="1"/>
      <c r="D1010" s="1"/>
      <c r="E1010" s="1"/>
    </row>
    <row r="1011" spans="3:5" ht="15" customHeight="1">
      <c r="C1011" s="1"/>
      <c r="D1011" s="1"/>
      <c r="E1011" s="1"/>
    </row>
    <row r="1012" spans="3:5" ht="15" customHeight="1">
      <c r="C1012" s="1"/>
      <c r="D1012" s="1"/>
      <c r="E1012" s="1"/>
    </row>
    <row r="1013" spans="3:5" ht="15" customHeight="1">
      <c r="C1013" s="1"/>
      <c r="D1013" s="1"/>
    </row>
    <row r="1014" spans="3:5" ht="15" customHeight="1">
      <c r="C1014" s="1"/>
      <c r="D1014" s="1"/>
    </row>
    <row r="1015" spans="3:5" ht="15" customHeight="1">
      <c r="C1015" s="1"/>
      <c r="D1015" s="1"/>
    </row>
  </sheetData>
  <mergeCells count="6">
    <mergeCell ref="F35:F36"/>
    <mergeCell ref="A1:B1"/>
    <mergeCell ref="AC30:AF30"/>
    <mergeCell ref="AC31:AF31"/>
    <mergeCell ref="AC32:AF32"/>
    <mergeCell ref="AC33:AF33"/>
  </mergeCells>
  <dataValidations count="2">
    <dataValidation type="list" allowBlank="1" showInputMessage="1" showErrorMessage="1" sqref="B19" xr:uid="{00000000-0002-0000-0000-000000000000}">
      <formula1>$R$8:$R$9</formula1>
    </dataValidation>
    <dataValidation type="list" allowBlank="1" showInputMessage="1" showErrorMessage="1" sqref="B17" xr:uid="{00000000-0002-0000-0000-000001000000}">
      <formula1>$S$4:$S$6</formula1>
    </dataValidation>
  </dataValidations>
  <pageMargins left="0.511811024" right="0.511811024" top="0.78740157499999996" bottom="0.78740157499999996" header="0.31496062000000002" footer="0.31496062000000002"/>
  <pageSetup paperSize="9" scale="78" fitToWidth="0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"/>
  <sheetViews>
    <sheetView topLeftCell="AA1" workbookViewId="0">
      <selection activeCell="AS2" sqref="AS2"/>
    </sheetView>
  </sheetViews>
  <sheetFormatPr defaultRowHeight="15.6"/>
  <cols>
    <col min="1" max="1" width="20.09765625" bestFit="1" customWidth="1"/>
    <col min="2" max="2" width="21.5" bestFit="1" customWidth="1"/>
    <col min="3" max="3" width="24.19921875" bestFit="1" customWidth="1"/>
    <col min="4" max="4" width="13.09765625" bestFit="1" customWidth="1"/>
    <col min="5" max="5" width="15.69921875" bestFit="1" customWidth="1"/>
    <col min="6" max="6" width="18.09765625" bestFit="1" customWidth="1"/>
    <col min="7" max="7" width="11.19921875" bestFit="1" customWidth="1"/>
    <col min="8" max="8" width="13.796875" bestFit="1" customWidth="1"/>
    <col min="9" max="9" width="11.59765625" bestFit="1" customWidth="1"/>
    <col min="10" max="10" width="7.8984375" bestFit="1" customWidth="1"/>
    <col min="11" max="11" width="6.3984375" customWidth="1"/>
    <col min="12" max="12" width="14.296875" bestFit="1" customWidth="1"/>
    <col min="13" max="13" width="15.59765625" bestFit="1" customWidth="1"/>
    <col min="14" max="14" width="6.69921875" bestFit="1" customWidth="1"/>
    <col min="15" max="15" width="6.69921875" customWidth="1"/>
    <col min="16" max="16" width="6.09765625" bestFit="1" customWidth="1"/>
    <col min="17" max="17" width="4.69921875" bestFit="1" customWidth="1"/>
    <col min="18" max="18" width="5.09765625" bestFit="1" customWidth="1"/>
    <col min="19" max="19" width="5.69921875" bestFit="1" customWidth="1"/>
    <col min="20" max="20" width="5.19921875" bestFit="1" customWidth="1"/>
    <col min="21" max="21" width="6.3984375" bestFit="1" customWidth="1"/>
    <col min="22" max="22" width="8.69921875" bestFit="1" customWidth="1"/>
    <col min="23" max="23" width="7.69921875" bestFit="1" customWidth="1"/>
    <col min="24" max="24" width="9.5" bestFit="1" customWidth="1"/>
    <col min="25" max="25" width="9.19921875" bestFit="1" customWidth="1"/>
    <col min="26" max="26" width="8.69921875" bestFit="1" customWidth="1"/>
    <col min="27" max="27" width="10.19921875" bestFit="1" customWidth="1"/>
    <col min="28" max="29" width="11.19921875" bestFit="1" customWidth="1"/>
    <col min="30" max="30" width="12.19921875" bestFit="1" customWidth="1"/>
    <col min="31" max="31" width="10.19921875" bestFit="1" customWidth="1"/>
    <col min="32" max="32" width="11.19921875" bestFit="1" customWidth="1"/>
    <col min="33" max="34" width="12.19921875" bestFit="1" customWidth="1"/>
    <col min="37" max="37" width="12.3984375" bestFit="1" customWidth="1"/>
  </cols>
  <sheetData>
    <row r="1" spans="1:50">
      <c r="A1" t="s">
        <v>124</v>
      </c>
      <c r="B1" t="s">
        <v>125</v>
      </c>
      <c r="C1" t="s">
        <v>126</v>
      </c>
      <c r="D1" s="60" t="s">
        <v>146</v>
      </c>
      <c r="E1" s="60" t="s">
        <v>147</v>
      </c>
      <c r="F1" s="60" t="s">
        <v>148</v>
      </c>
      <c r="G1" s="60" t="s">
        <v>149</v>
      </c>
      <c r="H1" s="60" t="s">
        <v>150</v>
      </c>
      <c r="I1" s="60" t="s">
        <v>151</v>
      </c>
      <c r="J1" s="60" t="s">
        <v>152</v>
      </c>
      <c r="K1" s="60" t="s">
        <v>153</v>
      </c>
      <c r="L1" s="60" t="s">
        <v>154</v>
      </c>
      <c r="M1" s="60" t="s">
        <v>155</v>
      </c>
      <c r="N1" t="s">
        <v>40</v>
      </c>
      <c r="O1" t="s">
        <v>164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156</v>
      </c>
      <c r="Z1" t="s">
        <v>165</v>
      </c>
      <c r="AA1" t="s">
        <v>166</v>
      </c>
      <c r="AB1" t="s">
        <v>167</v>
      </c>
      <c r="AC1" t="s">
        <v>168</v>
      </c>
      <c r="AD1" t="s">
        <v>169</v>
      </c>
      <c r="AE1" t="s">
        <v>170</v>
      </c>
      <c r="AF1" t="s">
        <v>171</v>
      </c>
      <c r="AG1" t="s">
        <v>172</v>
      </c>
      <c r="AH1" t="s">
        <v>173</v>
      </c>
      <c r="AI1" t="s">
        <v>174</v>
      </c>
      <c r="AJ1" t="s">
        <v>198</v>
      </c>
      <c r="AK1" t="s">
        <v>175</v>
      </c>
      <c r="AL1" t="s">
        <v>176</v>
      </c>
      <c r="AM1" t="s">
        <v>177</v>
      </c>
      <c r="AN1" t="s">
        <v>178</v>
      </c>
      <c r="AO1" t="s">
        <v>179</v>
      </c>
      <c r="AP1" t="s">
        <v>180</v>
      </c>
      <c r="AQ1" t="s">
        <v>199</v>
      </c>
      <c r="AR1" t="s">
        <v>200</v>
      </c>
      <c r="AS1" t="s">
        <v>201</v>
      </c>
      <c r="AT1" t="s">
        <v>181</v>
      </c>
      <c r="AU1" t="s">
        <v>182</v>
      </c>
      <c r="AV1" t="s">
        <v>183</v>
      </c>
      <c r="AW1" t="s">
        <v>189</v>
      </c>
      <c r="AX1" s="60" t="s">
        <v>188</v>
      </c>
    </row>
    <row r="2" spans="1:50">
      <c r="A2" s="60" t="str">
        <f>Orçamento!B18</f>
        <v>Claiton Gasparetto Filho</v>
      </c>
      <c r="B2" s="61" t="str">
        <f>Orçamento!B19</f>
        <v>Daniel Rotava</v>
      </c>
      <c r="C2" t="str">
        <f>Orçamento!R14</f>
        <v>(54) 99646 8910</v>
      </c>
      <c r="D2" t="str">
        <f>Orçamento!B28</f>
        <v>20 de agosto de 2026</v>
      </c>
      <c r="E2" t="str">
        <f>Orçamento!B20</f>
        <v>Placas fotovoltaicas Luxen 625w - Bifacial</v>
      </c>
      <c r="F2" t="str">
        <f>Orçamento!B24</f>
        <v>Tsuness, 2.5K</v>
      </c>
      <c r="G2" s="128">
        <f>Orçamento!B32</f>
        <v>6</v>
      </c>
      <c r="H2">
        <f>Orçamento!B25</f>
        <v>1</v>
      </c>
      <c r="I2" t="str">
        <f>Orçamento!B27</f>
        <v>Estruturas para mini trilho</v>
      </c>
      <c r="J2" s="61">
        <f>Orçamento!B31</f>
        <v>3.75</v>
      </c>
      <c r="K2" s="61">
        <f>Orçamento!B33</f>
        <v>21.705599999999997</v>
      </c>
      <c r="L2" s="61">
        <f>Orçamento!B36</f>
        <v>3977.2</v>
      </c>
      <c r="M2" s="61">
        <f>Orçamento!B35</f>
        <v>331.43333333333334</v>
      </c>
      <c r="N2" s="131">
        <f>Orçamento!F17</f>
        <v>324.36399999999998</v>
      </c>
      <c r="O2" s="131">
        <f>Orçamento!F18</f>
        <v>270.851</v>
      </c>
      <c r="P2" s="131">
        <f>Orçamento!F19</f>
        <v>258.29899999999998</v>
      </c>
      <c r="Q2" s="131">
        <f>Orçamento!F20</f>
        <v>205.49600000000001</v>
      </c>
      <c r="R2" s="131">
        <f>Orçamento!F21</f>
        <v>164.71299999999999</v>
      </c>
      <c r="S2" s="131">
        <f>Orçamento!F22</f>
        <v>136.21100000000001</v>
      </c>
      <c r="T2" s="131">
        <f>Orçamento!F23</f>
        <v>158.06200000000001</v>
      </c>
      <c r="U2" s="131">
        <f>Orçamento!F24</f>
        <v>195.36699999999999</v>
      </c>
      <c r="V2" s="131">
        <f>Orçamento!F25</f>
        <v>202.94900000000001</v>
      </c>
      <c r="W2" s="131">
        <f>Orçamento!F26</f>
        <v>264.584</v>
      </c>
      <c r="X2" s="131">
        <f>Orçamento!F26</f>
        <v>264.584</v>
      </c>
      <c r="Y2" s="131">
        <f>Orçamento!F28</f>
        <v>338.03800000000001</v>
      </c>
      <c r="Z2" s="133">
        <f>Orçamento!B37</f>
        <v>365.86925666666667</v>
      </c>
      <c r="AA2" s="133">
        <f>Orçamento!B38</f>
        <v>4390.4310800000003</v>
      </c>
      <c r="AB2" s="133">
        <f>Orçamento!B39</f>
        <v>30570.799503599999</v>
      </c>
      <c r="AC2" s="133">
        <f>Orçamento!B40</f>
        <v>68948.577725680007</v>
      </c>
      <c r="AD2" s="133">
        <f>Orçamento!B41</f>
        <v>332882.09471999994</v>
      </c>
      <c r="AE2" s="133">
        <f ca="1">Orçamento!B43</f>
        <v>5401.8187377634413</v>
      </c>
      <c r="AF2" s="133">
        <f ca="1">Orçamento!B44</f>
        <v>36480.454977763438</v>
      </c>
      <c r="AG2" s="133">
        <f ca="1">Orçamento!B45</f>
        <v>84299.523737763418</v>
      </c>
      <c r="AH2" s="133">
        <f ca="1">Orçamento!B46</f>
        <v>445257.58005936339</v>
      </c>
      <c r="AI2" t="str">
        <f ca="1">Orçamento!B47</f>
        <v>29 meses</v>
      </c>
      <c r="AJ2" s="139">
        <f>Orçamento!B48</f>
        <v>76.961461666666665</v>
      </c>
      <c r="AK2" s="76">
        <f ca="1">Orçamento!B15</f>
        <v>11624.697336561743</v>
      </c>
      <c r="AL2" t="str">
        <f ca="1">Orçamento!B47</f>
        <v>29 meses</v>
      </c>
      <c r="AM2" s="133">
        <f ca="1">Orçamento!D35</f>
        <v>375.78392309899556</v>
      </c>
      <c r="AN2" s="133">
        <f ca="1">Orçamento!D36</f>
        <v>296.92372685846351</v>
      </c>
      <c r="AO2" s="133">
        <f>Orçamento!B42</f>
        <v>397.02398999999997</v>
      </c>
      <c r="AP2">
        <f>Orçamento!F35</f>
        <v>60</v>
      </c>
      <c r="AQ2">
        <f>Orçamento!F34</f>
        <v>18</v>
      </c>
      <c r="AR2" s="72">
        <f>Orçamento!E34</f>
        <v>2.3900000000000001E-2</v>
      </c>
      <c r="AS2" s="139">
        <f ca="1">Orçamento!D34</f>
        <v>815.64868794536892</v>
      </c>
      <c r="AT2">
        <f>Orçamento!B21</f>
        <v>15</v>
      </c>
      <c r="AU2">
        <f>Orçamento!B26</f>
        <v>10</v>
      </c>
      <c r="AV2">
        <f>Orçamento!B23</f>
        <v>30</v>
      </c>
      <c r="AW2" s="134">
        <f>Orçamento!B22</f>
        <v>0.875</v>
      </c>
      <c r="AX2" t="str">
        <f>Orçamento!B29</f>
        <v>-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Orçamento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Alcione Belache</dc:creator>
  <cp:lastModifiedBy>Delfos Engenharia</cp:lastModifiedBy>
  <dcterms:created xsi:type="dcterms:W3CDTF">2013-01-28T17:23:04Z</dcterms:created>
  <dcterms:modified xsi:type="dcterms:W3CDTF">2026-08-20T17:40:48Z</dcterms:modified>
</cp:coreProperties>
</file>