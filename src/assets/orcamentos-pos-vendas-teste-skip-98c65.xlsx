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Y:\1 - Clientes\01 - NOVO CLIENTE\Pós-vendas\"/>
    </mc:Choice>
  </mc:AlternateContent>
  <xr:revisionPtr revIDLastSave="0" documentId="8_{ACE51CC7-A24A-454B-8F82-E00175BAB9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rçamento Pós-Vendas" sheetId="1" r:id="rId1"/>
    <sheet name="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2" l="1"/>
  <c r="AT2" i="2"/>
  <c r="AS2" i="2"/>
  <c r="B40" i="1"/>
  <c r="AV2" i="2" s="1"/>
  <c r="B39" i="1"/>
  <c r="AU2" i="2" s="1"/>
  <c r="B37" i="1"/>
  <c r="AR2" i="2"/>
  <c r="AQ2" i="2"/>
  <c r="AP2" i="2"/>
  <c r="L25" i="1"/>
  <c r="AO2" i="2" s="1"/>
  <c r="L24" i="1"/>
  <c r="AN2" i="2" s="1"/>
  <c r="L23" i="1"/>
  <c r="AM2" i="2" s="1"/>
  <c r="L22" i="1"/>
  <c r="AL2" i="2" s="1"/>
  <c r="L19" i="1"/>
  <c r="AI2" i="2" s="1"/>
  <c r="L18" i="1"/>
  <c r="AH2" i="2" s="1"/>
  <c r="L17" i="1"/>
  <c r="AG2" i="2" s="1"/>
  <c r="B8" i="1"/>
  <c r="G2" i="2" s="1"/>
  <c r="Y2" i="2"/>
  <c r="X2" i="2"/>
  <c r="U2" i="2"/>
  <c r="S2" i="2"/>
  <c r="R2" i="2"/>
  <c r="Q2" i="2"/>
  <c r="J2" i="2"/>
  <c r="I2" i="2"/>
  <c r="H2" i="2"/>
  <c r="F2" i="2"/>
  <c r="E2" i="2"/>
  <c r="D2" i="2"/>
  <c r="B2" i="2"/>
  <c r="O11" i="1"/>
  <c r="C2" i="2" s="1"/>
  <c r="A2" i="2"/>
  <c r="B24" i="1"/>
  <c r="C28" i="1"/>
  <c r="T2" i="2" s="1"/>
  <c r="C23" i="1"/>
  <c r="P2" i="2" s="1"/>
  <c r="B11" i="1"/>
  <c r="W2" i="2" s="1"/>
  <c r="B30" i="1"/>
  <c r="V2" i="2" s="1"/>
  <c r="B13" i="1" l="1"/>
  <c r="K2" i="2" s="1"/>
  <c r="E9" i="1"/>
  <c r="B14" i="1"/>
  <c r="L2" i="2" s="1"/>
  <c r="B15" i="1"/>
  <c r="M2" i="2" s="1"/>
  <c r="B16" i="1"/>
  <c r="N2" i="2" s="1"/>
  <c r="B17" i="1"/>
  <c r="O2" i="2" s="1"/>
  <c r="E5" i="1"/>
  <c r="AA2" i="2"/>
  <c r="L20" i="1" l="1"/>
  <c r="AJ2" i="2" s="1"/>
  <c r="L21" i="1"/>
  <c r="AK2" i="2" s="1"/>
  <c r="F9" i="1"/>
  <c r="AB2" i="2" s="1"/>
  <c r="G9" i="1"/>
  <c r="B33" i="1" l="1"/>
  <c r="AC2" i="2"/>
  <c r="C33" i="1" a="1"/>
  <c r="C33" i="1" l="1"/>
  <c r="AF2" i="2" s="1"/>
  <c r="Z2" i="2"/>
  <c r="B34" i="1"/>
  <c r="C34" i="1" a="1"/>
  <c r="C34" i="1" l="1"/>
  <c r="AE2" i="2" s="1"/>
  <c r="AD2" i="2"/>
  <c r="O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<sst xmlns="http://schemas.openxmlformats.org/spreadsheetml/2006/main" count="170" uniqueCount="136">
  <si>
    <t>Campo / Item</t>
  </si>
  <si>
    <t>Preenchimento / Descrição</t>
  </si>
  <si>
    <t>Data</t>
  </si>
  <si>
    <t>Responsável comercial</t>
  </si>
  <si>
    <t>Telefone</t>
  </si>
  <si>
    <t>Nome / Razão social</t>
  </si>
  <si>
    <t>CPF/CNPJ</t>
  </si>
  <si>
    <t>Endereço completo</t>
  </si>
  <si>
    <t>E-mail</t>
  </si>
  <si>
    <t>Local de instalação (Solo / Telhado)</t>
  </si>
  <si>
    <t>Endereço da instalação</t>
  </si>
  <si>
    <t>Número total de módulos fotovoltaicos</t>
  </si>
  <si>
    <t>Marca e modelo dos inversores</t>
  </si>
  <si>
    <t>Geração média mensal (kWh)</t>
  </si>
  <si>
    <t>Geração anual (kWh)</t>
  </si>
  <si>
    <t>Valor do kWh (R$)</t>
  </si>
  <si>
    <t>Valor do plano (R$)</t>
  </si>
  <si>
    <t>Deslocamento / distância</t>
  </si>
  <si>
    <t>Lavagem dos módulos</t>
  </si>
  <si>
    <t>João Victor Bagetti Fuchs</t>
  </si>
  <si>
    <t>Plano</t>
  </si>
  <si>
    <t>Essencial</t>
  </si>
  <si>
    <t>Inspeção</t>
  </si>
  <si>
    <t>Completo</t>
  </si>
  <si>
    <t>Local de instalação</t>
  </si>
  <si>
    <t>Solo</t>
  </si>
  <si>
    <t>Telhado</t>
  </si>
  <si>
    <t>Valor R$/KM</t>
  </si>
  <si>
    <t>Plano Selecionado</t>
  </si>
  <si>
    <t>Valor do Plano Selecionado</t>
  </si>
  <si>
    <t>DADOS PARA PROPOSTA</t>
  </si>
  <si>
    <t>Colocar 0 se for em Erechim</t>
  </si>
  <si>
    <t>DADOS PARA CONTRATO</t>
  </si>
  <si>
    <t>Representantes</t>
  </si>
  <si>
    <t>Daniel Rotava</t>
  </si>
  <si>
    <t>Nome / Razão Social</t>
  </si>
  <si>
    <t>Município</t>
  </si>
  <si>
    <t>Erechim - RS</t>
  </si>
  <si>
    <t>Valor do Ativo Protegido</t>
  </si>
  <si>
    <t>Perda potencial de 15% ao ano</t>
  </si>
  <si>
    <t>Perda potencial de 20% ao ano</t>
  </si>
  <si>
    <t>30 dias sem geração</t>
  </si>
  <si>
    <t>20 dias sem geração</t>
  </si>
  <si>
    <t>Responsavel_comercial</t>
  </si>
  <si>
    <t>Nome_RazaoSocial</t>
  </si>
  <si>
    <t>N_Modulos</t>
  </si>
  <si>
    <t>Geracao_anual</t>
  </si>
  <si>
    <t>geracao_mensal</t>
  </si>
  <si>
    <t>Deslocamento</t>
  </si>
  <si>
    <t>ValorKM</t>
  </si>
  <si>
    <t>ValordokWh</t>
  </si>
  <si>
    <t>ValordoAtivoProtegido</t>
  </si>
  <si>
    <t>Perda15</t>
  </si>
  <si>
    <t>Perda20</t>
  </si>
  <si>
    <t>CPFCNPJ</t>
  </si>
  <si>
    <t>Endereco</t>
  </si>
  <si>
    <t>municipio</t>
  </si>
  <si>
    <t>Email</t>
  </si>
  <si>
    <t>Local Solo/Telhado</t>
  </si>
  <si>
    <t>Enderecoinstalacao</t>
  </si>
  <si>
    <t>Potenciatotal</t>
  </si>
  <si>
    <t>Marcainversores</t>
  </si>
  <si>
    <t>PlanoSelecionado</t>
  </si>
  <si>
    <t>ValordoPlanoSelecionado</t>
  </si>
  <si>
    <t>Inspecao</t>
  </si>
  <si>
    <t>ContatorespComercial</t>
  </si>
  <si>
    <t>Numerorespresentate</t>
  </si>
  <si>
    <t>Potência total do sistema</t>
  </si>
  <si>
    <t>20dias</t>
  </si>
  <si>
    <t>30dias</t>
  </si>
  <si>
    <t>Endereço do Cliente</t>
  </si>
  <si>
    <t>Email do cliente</t>
  </si>
  <si>
    <t>Telefone do cliente</t>
  </si>
  <si>
    <t>Inversores do cliente</t>
  </si>
  <si>
    <t>Nome do Cliente</t>
  </si>
  <si>
    <t>Plano do Anexo</t>
  </si>
  <si>
    <t xml:space="preserve">Anexo </t>
  </si>
  <si>
    <t>Valor total do Plano anual</t>
  </si>
  <si>
    <t>Valortotal</t>
  </si>
  <si>
    <t>Valorescritototal</t>
  </si>
  <si>
    <t>Valorescritomensal</t>
  </si>
  <si>
    <t>Item</t>
  </si>
  <si>
    <t>Serviço</t>
  </si>
  <si>
    <t>Descrição Detalhada</t>
  </si>
  <si>
    <t>Valor (R$)</t>
  </si>
  <si>
    <t>Hora Adicional (R$)</t>
  </si>
  <si>
    <t>Observações</t>
  </si>
  <si>
    <t>Diagnóstico Técnico</t>
  </si>
  <si>
    <t>Análise completa do sistema, identificação de anomalias e recomendações</t>
  </si>
  <si>
    <t>Manutenção Corretiva</t>
  </si>
  <si>
    <t xml:space="preserve">Execução de reparos e ajustes identificados em diagnóstico. </t>
  </si>
  <si>
    <t>Peças cobradas à parte com nota fiscal. Não será cobrado caso seja feita na visita do item anterior.</t>
  </si>
  <si>
    <t>Inspeção Termográfica e Relatório</t>
  </si>
  <si>
    <t>Detecção de pontos quentes em módulos e conexões, com relatório técnico</t>
  </si>
  <si>
    <t>-</t>
  </si>
  <si>
    <t>Realizado em dias de sol, entre 10hrs e 14hrs.</t>
  </si>
  <si>
    <t>Inspeção Técnica</t>
  </si>
  <si>
    <t>Inspeção visual completa de estrutura, conexões e equipamentos</t>
  </si>
  <si>
    <t>Limpeza de Painéis Solares</t>
  </si>
  <si>
    <t>Limpeza profissional com remoção de poeira, sujeira e contaminantes</t>
  </si>
  <si>
    <t>Testes em Inversor para Garantia</t>
  </si>
  <si>
    <t>Diagnóstico e testes de funcionamento para acionamento de garantia</t>
  </si>
  <si>
    <t>Mão de obra; peças cobertas por garantia do fabricante</t>
  </si>
  <si>
    <t>Substituição de Inversor</t>
  </si>
  <si>
    <t>Remoção e instalação de novo inversor</t>
  </si>
  <si>
    <t>Peças cobradas à parte; requer desligamento da rede elétrica</t>
  </si>
  <si>
    <t>Relatório Técnico Especializado (Seguradora)</t>
  </si>
  <si>
    <t>Laudo técnico detalhado para fins de seguro ou perícia</t>
  </si>
  <si>
    <t> -</t>
  </si>
  <si>
    <t>Inclui fotos, análise e recomendações</t>
  </si>
  <si>
    <t>Configuração de datalogger (monitoramento)</t>
  </si>
  <si>
    <t>Configuração, de datalogger com plataforma de monitoramento. Contratante deve possuir WiFi de alta qualidade e fornecer login e senha. É obrigatório que o SSID (nome da rede) tenha apenas com letras e números, sem espaços ou caracteres especiais).</t>
  </si>
  <si>
    <t>NÃO inclui substituição de equipamento em caso de defeito</t>
  </si>
  <si>
    <t>Gestão de Rateio e Beneficiárias</t>
  </si>
  <si>
    <t>Anexo G</t>
  </si>
  <si>
    <t>Otimização de Rateio de Injeção</t>
  </si>
  <si>
    <t>Auditoria e Contestação de Faturamento</t>
  </si>
  <si>
    <t>Saneamento de Divergências de Consumo/Injeção</t>
  </si>
  <si>
    <t>Recuperação de Créditos por Erro de Medição</t>
  </si>
  <si>
    <t>Manutenção de Ativos e Medição (Reclamações de falta de energia e problemas no medidor)</t>
  </si>
  <si>
    <t>Gestão de Ocorrências e Disponibilidade de Rede</t>
  </si>
  <si>
    <t>Suporte Técnico para Sistemas de Medição</t>
  </si>
  <si>
    <t>Intermediação de Falhas e Manutenções de Conexão</t>
  </si>
  <si>
    <t>Diagnóstico</t>
  </si>
  <si>
    <t>Reclamações de falta de energia e problemas no medidor</t>
  </si>
  <si>
    <t>DADOS PARA PROCURAÇÃO</t>
  </si>
  <si>
    <t>Nome</t>
  </si>
  <si>
    <t>CPF:</t>
  </si>
  <si>
    <t>CPF do cliente</t>
  </si>
  <si>
    <t>Endereço</t>
  </si>
  <si>
    <t>Municipio</t>
  </si>
  <si>
    <t>NomeProcuração</t>
  </si>
  <si>
    <t>CPF_Procuração</t>
  </si>
  <si>
    <t>EndereçoProcuração</t>
  </si>
  <si>
    <t>MunicipioProcuração</t>
  </si>
  <si>
    <t>DataProcuração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</si>
</sst>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5E7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  <border>
      <left/>
      <right style="medium">
        <color rgb="FFD1D5DB"/>
      </right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3" borderId="0" xfId="0" applyFill="1"/>
    <xf numFmtId="164" fontId="0" fillId="3" borderId="1" xfId="0" applyNumberFormat="1" applyFill="1" applyBorder="1"/>
    <xf numFmtId="0" fontId="0" fillId="2" borderId="0" xfId="0" applyFill="1"/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164" fontId="0" fillId="0" borderId="1" xfId="1" applyNumberFormat="1" applyFont="1" applyBorder="1"/>
    <xf numFmtId="0" fontId="4" fillId="0" borderId="2" xfId="0" applyFont="1" applyBorder="1" applyAlignment="1">
      <alignment horizontal="left" vertical="center"/>
    </xf>
    <xf numFmtId="14" fontId="4" fillId="2" borderId="3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0" fontId="0" fillId="3" borderId="2" xfId="0" applyFill="1" applyBorder="1"/>
    <xf numFmtId="164" fontId="0" fillId="3" borderId="3" xfId="0" applyNumberFormat="1" applyFill="1" applyBorder="1"/>
    <xf numFmtId="164" fontId="0" fillId="3" borderId="3" xfId="1" applyNumberFormat="1" applyFont="1" applyFill="1" applyBorder="1"/>
    <xf numFmtId="0" fontId="0" fillId="3" borderId="6" xfId="0" applyFill="1" applyBorder="1"/>
    <xf numFmtId="164" fontId="0" fillId="3" borderId="7" xfId="0" applyNumberFormat="1" applyFill="1" applyBorder="1"/>
    <xf numFmtId="0" fontId="5" fillId="0" borderId="1" xfId="0" applyFont="1" applyBorder="1" applyAlignment="1">
      <alignment horizontal="center" vertical="center"/>
    </xf>
    <xf numFmtId="14" fontId="0" fillId="0" borderId="0" xfId="0" applyNumberFormat="1"/>
    <xf numFmtId="0" fontId="4" fillId="3" borderId="3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49" fontId="0" fillId="0" borderId="0" xfId="0" applyNumberFormat="1"/>
    <xf numFmtId="49" fontId="0" fillId="4" borderId="0" xfId="0" applyNumberFormat="1" applyFill="1"/>
    <xf numFmtId="0" fontId="0" fillId="4" borderId="0" xfId="0" applyFill="1"/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8" fontId="0" fillId="0" borderId="0" xfId="0" applyNumberFormat="1"/>
    <xf numFmtId="8" fontId="7" fillId="0" borderId="12" xfId="0" applyNumberFormat="1" applyFont="1" applyBorder="1" applyAlignment="1">
      <alignment horizontal="center" vertical="center" wrapText="1"/>
    </xf>
    <xf numFmtId="8" fontId="7" fillId="0" borderId="12" xfId="0" applyNumberFormat="1" applyFont="1" applyBorder="1" applyAlignment="1">
      <alignment horizontal="right" vertical="center" wrapText="1"/>
    </xf>
    <xf numFmtId="0" fontId="7" fillId="0" borderId="14" xfId="0" applyFont="1" applyBorder="1" applyAlignment="1">
      <alignment vertical="center" wrapText="1"/>
    </xf>
    <xf numFmtId="8" fontId="7" fillId="0" borderId="15" xfId="0" applyNumberFormat="1" applyFont="1" applyBorder="1" applyAlignment="1">
      <alignment vertical="center" wrapText="1"/>
    </xf>
    <xf numFmtId="8" fontId="7" fillId="0" borderId="13" xfId="0" applyNumberFormat="1" applyFont="1" applyBorder="1" applyAlignment="1">
      <alignment vertical="center" wrapText="1"/>
    </xf>
    <xf numFmtId="8" fontId="7" fillId="0" borderId="11" xfId="0" applyNumberFormat="1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4" fontId="4" fillId="2" borderId="1" xfId="0" applyNumberFormat="1" applyFont="1" applyFill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2" fontId="4" fillId="2" borderId="3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7" fillId="0" borderId="15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5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3" xfId="0" applyFont="1" applyBorder="1" applyAlignment="1">
      <alignment horizontal="righ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1F4E79"/>
  </sheetPr>
  <dimension ref="A1:X4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8" customHeight="1" x14ac:dyDescent="0.35"/>
  <cols>
    <col min="1" max="1" width="36.36328125" customWidth="1"/>
    <col min="2" max="2" width="28.90625" customWidth="1"/>
    <col min="3" max="3" width="25.54296875" customWidth="1"/>
    <col min="4" max="4" width="20.90625" customWidth="1"/>
    <col min="5" max="8" width="13.90625" customWidth="1"/>
    <col min="10" max="10" width="16.6328125" customWidth="1"/>
    <col min="11" max="11" width="10.453125" customWidth="1"/>
    <col min="14" max="14" width="19.81640625" customWidth="1"/>
    <col min="16" max="16" width="11.81640625" bestFit="1" customWidth="1"/>
  </cols>
  <sheetData>
    <row r="1" spans="1:16" ht="18" customHeight="1" x14ac:dyDescent="0.35">
      <c r="A1" s="47" t="s">
        <v>30</v>
      </c>
      <c r="B1" s="47"/>
    </row>
    <row r="2" spans="1:16" ht="18" customHeight="1" x14ac:dyDescent="0.35">
      <c r="A2" s="23" t="s">
        <v>0</v>
      </c>
      <c r="B2" s="23" t="s">
        <v>1</v>
      </c>
    </row>
    <row r="3" spans="1:16" ht="18" customHeight="1" x14ac:dyDescent="0.35">
      <c r="A3" s="12" t="s">
        <v>2</v>
      </c>
      <c r="B3" s="13">
        <v>46229</v>
      </c>
      <c r="C3" s="24"/>
    </row>
    <row r="4" spans="1:16" ht="18" customHeight="1" x14ac:dyDescent="0.35">
      <c r="A4" s="14" t="s">
        <v>3</v>
      </c>
      <c r="B4" s="15" t="s">
        <v>19</v>
      </c>
    </row>
    <row r="5" spans="1:16" ht="18" customHeight="1" x14ac:dyDescent="0.35">
      <c r="A5" s="14" t="s">
        <v>5</v>
      </c>
      <c r="B5" s="15" t="s">
        <v>74</v>
      </c>
      <c r="D5" s="2" t="s">
        <v>18</v>
      </c>
      <c r="E5" s="11">
        <f>IF(B6*8&lt;300,300,B6*8)+B9*2*$B$10</f>
        <v>300</v>
      </c>
    </row>
    <row r="6" spans="1:16" ht="18" customHeight="1" x14ac:dyDescent="0.35">
      <c r="A6" s="14" t="s">
        <v>11</v>
      </c>
      <c r="B6" s="15">
        <v>15</v>
      </c>
      <c r="N6" t="s">
        <v>24</v>
      </c>
      <c r="O6" t="s">
        <v>25</v>
      </c>
    </row>
    <row r="7" spans="1:16" ht="18" customHeight="1" x14ac:dyDescent="0.35">
      <c r="A7" s="14" t="s">
        <v>14</v>
      </c>
      <c r="B7" s="15">
        <v>1500</v>
      </c>
      <c r="O7" t="s">
        <v>26</v>
      </c>
    </row>
    <row r="8" spans="1:16" ht="18" customHeight="1" x14ac:dyDescent="0.35">
      <c r="A8" s="14" t="s">
        <v>13</v>
      </c>
      <c r="B8" s="25">
        <f>B7/12</f>
        <v>125</v>
      </c>
      <c r="D8" s="10" t="s">
        <v>20</v>
      </c>
      <c r="E8" s="9" t="s">
        <v>21</v>
      </c>
      <c r="F8" s="9" t="s">
        <v>22</v>
      </c>
      <c r="G8" s="9" t="s">
        <v>23</v>
      </c>
    </row>
    <row r="9" spans="1:16" ht="18" customHeight="1" x14ac:dyDescent="0.35">
      <c r="A9" s="14" t="s">
        <v>17</v>
      </c>
      <c r="B9" s="15"/>
      <c r="C9" s="6" t="s">
        <v>31</v>
      </c>
      <c r="D9" s="1" t="s">
        <v>16</v>
      </c>
      <c r="E9" s="5">
        <f>IF($B$8*$B$12/60&lt;49.9,49.9,$B$8*$B$12/60)</f>
        <v>49.9</v>
      </c>
      <c r="F9" s="5">
        <f>E9+E5/12</f>
        <v>74.900000000000006</v>
      </c>
      <c r="G9" s="5">
        <f>E5*2/12+E9</f>
        <v>99.9</v>
      </c>
      <c r="N9" t="s">
        <v>33</v>
      </c>
      <c r="O9" t="s">
        <v>19</v>
      </c>
      <c r="P9">
        <v>54981108228</v>
      </c>
    </row>
    <row r="10" spans="1:16" ht="18" customHeight="1" x14ac:dyDescent="0.35">
      <c r="A10" s="16" t="s">
        <v>27</v>
      </c>
      <c r="B10" s="17">
        <v>1.5</v>
      </c>
      <c r="O10" t="s">
        <v>34</v>
      </c>
      <c r="P10">
        <v>54996468910</v>
      </c>
    </row>
    <row r="11" spans="1:16" ht="18" customHeight="1" x14ac:dyDescent="0.35">
      <c r="A11" s="16" t="s">
        <v>67</v>
      </c>
      <c r="B11" s="3">
        <f>15*550/1000</f>
        <v>8.25</v>
      </c>
      <c r="N11" t="s">
        <v>66</v>
      </c>
      <c r="O11" t="str">
        <f>IF($B$4="","", "("&amp;LEFT(INDEX($P$9:$P$10,MATCH($B$4,$O$9:$O$10,0)),2)&amp;") "&amp; MID(INDEX($P$9:$P$10,MATCH($B$4,$O$9:$O$10,0)),3,5)&amp;"-"&amp; MID(INDEX($P$9:$P$10,MATCH($B$4,$O$9:$O$10,0)),8,4))</f>
        <v>(54) 98110-8228</v>
      </c>
    </row>
    <row r="12" spans="1:16" ht="18" customHeight="1" x14ac:dyDescent="0.35">
      <c r="A12" s="14" t="s">
        <v>15</v>
      </c>
      <c r="B12" s="46">
        <v>1.19</v>
      </c>
      <c r="N12" t="s">
        <v>75</v>
      </c>
      <c r="O12" t="s">
        <v>76</v>
      </c>
    </row>
    <row r="13" spans="1:16" ht="18" customHeight="1" x14ac:dyDescent="0.35">
      <c r="A13" s="18" t="s">
        <v>38</v>
      </c>
      <c r="B13" s="19">
        <f>B8*B12</f>
        <v>148.75</v>
      </c>
      <c r="O13" s="27">
        <f>B34*1</f>
        <v>898.80000000000007</v>
      </c>
    </row>
    <row r="14" spans="1:16" ht="18" customHeight="1" x14ac:dyDescent="0.35">
      <c r="A14" s="18" t="s">
        <v>39</v>
      </c>
      <c r="B14" s="20">
        <f>B8*12*B12*0.15</f>
        <v>267.75</v>
      </c>
    </row>
    <row r="15" spans="1:16" ht="18" customHeight="1" thickBot="1" x14ac:dyDescent="0.4">
      <c r="A15" s="18" t="s">
        <v>40</v>
      </c>
      <c r="B15" s="19">
        <f>B8*12*B12*0.2</f>
        <v>357</v>
      </c>
    </row>
    <row r="16" spans="1:16" ht="18" customHeight="1" thickBot="1" x14ac:dyDescent="0.4">
      <c r="A16" s="18" t="s">
        <v>42</v>
      </c>
      <c r="B16" s="19">
        <f>B8*B12*2/3</f>
        <v>99.166666666666671</v>
      </c>
      <c r="I16" s="30" t="s">
        <v>81</v>
      </c>
      <c r="J16" s="31" t="s">
        <v>82</v>
      </c>
      <c r="K16" s="31" t="s">
        <v>83</v>
      </c>
      <c r="L16" s="31" t="s">
        <v>84</v>
      </c>
      <c r="M16" s="31" t="s">
        <v>85</v>
      </c>
      <c r="N16" s="31" t="s">
        <v>86</v>
      </c>
    </row>
    <row r="17" spans="1:14" ht="18" customHeight="1" thickBot="1" x14ac:dyDescent="0.4">
      <c r="A17" s="21" t="s">
        <v>41</v>
      </c>
      <c r="B17" s="22">
        <f>B8*B12</f>
        <v>148.75</v>
      </c>
      <c r="I17" s="32">
        <v>1</v>
      </c>
      <c r="J17" s="33" t="s">
        <v>87</v>
      </c>
      <c r="K17" s="33" t="s">
        <v>88</v>
      </c>
      <c r="L17" s="35">
        <f>250+$B$10*$B$9*2</f>
        <v>250</v>
      </c>
      <c r="M17" s="36">
        <v>150</v>
      </c>
      <c r="N17" s="33"/>
    </row>
    <row r="18" spans="1:14" ht="18" customHeight="1" thickBot="1" x14ac:dyDescent="0.4">
      <c r="I18" s="32">
        <v>2</v>
      </c>
      <c r="J18" s="33" t="s">
        <v>89</v>
      </c>
      <c r="K18" s="33" t="s">
        <v>90</v>
      </c>
      <c r="L18" s="35">
        <f>250+$B$10*$B$9*2</f>
        <v>250</v>
      </c>
      <c r="M18" s="36">
        <v>150</v>
      </c>
      <c r="N18" s="33" t="s">
        <v>91</v>
      </c>
    </row>
    <row r="19" spans="1:14" ht="18" customHeight="1" thickBot="1" x14ac:dyDescent="0.4">
      <c r="I19" s="32">
        <v>3</v>
      </c>
      <c r="J19" s="33" t="s">
        <v>92</v>
      </c>
      <c r="K19" s="33" t="s">
        <v>93</v>
      </c>
      <c r="L19" s="35">
        <f>400+$B$10*$B$9*2</f>
        <v>400</v>
      </c>
      <c r="M19" s="33" t="s">
        <v>94</v>
      </c>
      <c r="N19" s="33" t="s">
        <v>95</v>
      </c>
    </row>
    <row r="20" spans="1:14" ht="18" customHeight="1" thickBot="1" x14ac:dyDescent="0.4">
      <c r="I20" s="32">
        <v>4</v>
      </c>
      <c r="J20" s="33" t="s">
        <v>96</v>
      </c>
      <c r="K20" s="33" t="s">
        <v>97</v>
      </c>
      <c r="L20" s="35">
        <f>E5</f>
        <v>300</v>
      </c>
      <c r="M20" s="36"/>
      <c r="N20" s="33"/>
    </row>
    <row r="21" spans="1:14" ht="18" customHeight="1" thickBot="1" x14ac:dyDescent="0.4">
      <c r="I21" s="32">
        <v>5</v>
      </c>
      <c r="J21" s="33" t="s">
        <v>98</v>
      </c>
      <c r="K21" s="33" t="s">
        <v>99</v>
      </c>
      <c r="L21" s="35">
        <f>E5</f>
        <v>300</v>
      </c>
      <c r="M21" s="33" t="s">
        <v>94</v>
      </c>
      <c r="N21" s="33"/>
    </row>
    <row r="22" spans="1:14" ht="18" customHeight="1" thickBot="1" x14ac:dyDescent="0.4">
      <c r="A22" s="47" t="s">
        <v>32</v>
      </c>
      <c r="B22" s="47"/>
      <c r="C22" s="10"/>
      <c r="I22" s="32">
        <v>6</v>
      </c>
      <c r="J22" s="33" t="s">
        <v>100</v>
      </c>
      <c r="K22" s="33" t="s">
        <v>101</v>
      </c>
      <c r="L22" s="35">
        <f>300+$B$10*$B$9*2</f>
        <v>300</v>
      </c>
      <c r="M22" s="36">
        <v>150</v>
      </c>
      <c r="N22" s="33" t="s">
        <v>102</v>
      </c>
    </row>
    <row r="23" spans="1:14" ht="18" customHeight="1" thickBot="1" x14ac:dyDescent="0.4">
      <c r="A23" s="44" t="s">
        <v>6</v>
      </c>
      <c r="B23" s="45">
        <v>81156278015</v>
      </c>
      <c r="C23" s="4" t="str">
        <f>IF(LEN(B23)=11, LEFT(B23,3)&amp;"."&amp;MID(B23,4,3)&amp;"."&amp;MID(B23,7,3)&amp;"-"&amp;MID(B23,10,2), IF(LEN(B23)=14, LEFT(B23,2)&amp;"."&amp;MID(B23,3,3)&amp;"."&amp;MID(B23,6,3)&amp;"/"&amp;MID(B23,9,4)&amp;"-"&amp;MID(B23,13,2), "Digite CPF (11) ou CNPJ (14)"))</f>
        <v>811.562.780-15</v>
      </c>
      <c r="I23" s="32">
        <v>7</v>
      </c>
      <c r="J23" s="33" t="s">
        <v>103</v>
      </c>
      <c r="K23" s="33" t="s">
        <v>104</v>
      </c>
      <c r="L23" s="35">
        <f>350+$B$10*$B$9*2</f>
        <v>350</v>
      </c>
      <c r="M23" s="36">
        <v>150</v>
      </c>
      <c r="N23" s="33" t="s">
        <v>105</v>
      </c>
    </row>
    <row r="24" spans="1:14" ht="18" customHeight="1" thickBot="1" x14ac:dyDescent="0.4">
      <c r="A24" s="2" t="s">
        <v>35</v>
      </c>
      <c r="B24" s="3" t="str">
        <f>B5</f>
        <v>Nome do Cliente</v>
      </c>
      <c r="C24" s="4"/>
      <c r="I24" s="32">
        <v>8</v>
      </c>
      <c r="J24" s="33" t="s">
        <v>106</v>
      </c>
      <c r="K24" s="33" t="s">
        <v>107</v>
      </c>
      <c r="L24" s="35">
        <f>600+$B$10*$B$9*2</f>
        <v>600</v>
      </c>
      <c r="M24" s="33" t="s">
        <v>108</v>
      </c>
      <c r="N24" s="33" t="s">
        <v>109</v>
      </c>
    </row>
    <row r="25" spans="1:14" ht="18" customHeight="1" thickBot="1" x14ac:dyDescent="0.4">
      <c r="A25" s="2" t="s">
        <v>7</v>
      </c>
      <c r="B25" s="3" t="s">
        <v>70</v>
      </c>
      <c r="I25" s="32">
        <v>9</v>
      </c>
      <c r="J25" s="33" t="s">
        <v>110</v>
      </c>
      <c r="K25" s="33" t="s">
        <v>111</v>
      </c>
      <c r="L25" s="35">
        <f>150+$B$10*$B$9*2</f>
        <v>150</v>
      </c>
      <c r="M25" s="36">
        <v>150</v>
      </c>
      <c r="N25" s="33" t="s">
        <v>112</v>
      </c>
    </row>
    <row r="26" spans="1:14" ht="18" customHeight="1" x14ac:dyDescent="0.35">
      <c r="A26" s="2" t="s">
        <v>36</v>
      </c>
      <c r="B26" s="3" t="s">
        <v>37</v>
      </c>
      <c r="I26" s="51">
        <v>10</v>
      </c>
      <c r="J26" s="48" t="s">
        <v>113</v>
      </c>
      <c r="K26" s="37" t="s">
        <v>114</v>
      </c>
      <c r="L26" s="38">
        <v>120</v>
      </c>
      <c r="M26" s="48" t="s">
        <v>108</v>
      </c>
      <c r="N26" s="48"/>
    </row>
    <row r="27" spans="1:14" ht="18" customHeight="1" thickBot="1" x14ac:dyDescent="0.4">
      <c r="A27" s="2" t="s">
        <v>8</v>
      </c>
      <c r="B27" s="3" t="s">
        <v>71</v>
      </c>
      <c r="I27" s="52"/>
      <c r="J27" s="50"/>
      <c r="K27" s="33" t="s">
        <v>115</v>
      </c>
      <c r="L27" s="40"/>
      <c r="M27" s="50"/>
      <c r="N27" s="50"/>
    </row>
    <row r="28" spans="1:14" ht="24" customHeight="1" x14ac:dyDescent="0.35">
      <c r="A28" s="2" t="s">
        <v>4</v>
      </c>
      <c r="B28" s="3" t="s">
        <v>72</v>
      </c>
      <c r="C28" s="4" t="str">
        <f>IF(LEN(B28)=10, "("&amp;LEFT(B28,2)&amp;") "&amp;MID(B28,3,4)&amp;"-"&amp;MID(B28,7,4), IF(LEN(B28)=11, "("&amp;LEFT(B28,2)&amp;") "&amp;MID(B28,3,5)&amp;"-"&amp;MID(B28,8,4), "Digite 10 ou 11 dígitos"))</f>
        <v>Digite 10 ou 11 dígitos</v>
      </c>
      <c r="I28" s="51">
        <v>11</v>
      </c>
      <c r="J28" s="48" t="s">
        <v>116</v>
      </c>
      <c r="K28" s="37" t="s">
        <v>117</v>
      </c>
      <c r="L28" s="38">
        <v>200</v>
      </c>
      <c r="M28" s="48" t="s">
        <v>108</v>
      </c>
      <c r="N28" s="48"/>
    </row>
    <row r="29" spans="1:14" ht="18" customHeight="1" thickBot="1" x14ac:dyDescent="0.4">
      <c r="A29" s="2" t="s">
        <v>9</v>
      </c>
      <c r="B29" s="3" t="s">
        <v>26</v>
      </c>
      <c r="I29" s="52"/>
      <c r="J29" s="50"/>
      <c r="K29" s="33" t="s">
        <v>118</v>
      </c>
      <c r="L29" s="40"/>
      <c r="M29" s="50"/>
      <c r="N29" s="50"/>
    </row>
    <row r="30" spans="1:14" ht="48" customHeight="1" x14ac:dyDescent="0.35">
      <c r="A30" s="2" t="s">
        <v>10</v>
      </c>
      <c r="B30" s="3" t="str">
        <f>B25</f>
        <v>Endereço do Cliente</v>
      </c>
      <c r="I30" s="51">
        <v>12</v>
      </c>
      <c r="J30" s="48" t="s">
        <v>119</v>
      </c>
      <c r="K30" s="37" t="s">
        <v>120</v>
      </c>
      <c r="L30" s="38">
        <v>150</v>
      </c>
      <c r="M30" s="48" t="s">
        <v>108</v>
      </c>
      <c r="N30" s="48"/>
    </row>
    <row r="31" spans="1:14" ht="18" customHeight="1" x14ac:dyDescent="0.35">
      <c r="A31" s="7" t="s">
        <v>28</v>
      </c>
      <c r="B31" s="8" t="s">
        <v>22</v>
      </c>
      <c r="I31" s="53"/>
      <c r="J31" s="49"/>
      <c r="K31" s="37" t="s">
        <v>121</v>
      </c>
      <c r="L31" s="39"/>
      <c r="M31" s="49"/>
      <c r="N31" s="49"/>
    </row>
    <row r="32" spans="1:14" ht="18" customHeight="1" thickBot="1" x14ac:dyDescent="0.4">
      <c r="A32" s="2" t="s">
        <v>12</v>
      </c>
      <c r="B32" s="3" t="s">
        <v>73</v>
      </c>
      <c r="I32" s="52"/>
      <c r="J32" s="50"/>
      <c r="K32" s="33" t="s">
        <v>122</v>
      </c>
      <c r="L32" s="40"/>
      <c r="M32" s="50"/>
      <c r="N32" s="50"/>
    </row>
    <row r="33" spans="1:24" ht="18" customHeight="1" x14ac:dyDescent="0.35">
      <c r="A33" s="7" t="s">
        <v>29</v>
      </c>
      <c r="B33" s="28">
        <f>INDEX($E$9:$G$9,MATCH($B$31,$E$8:$G$8,0))</f>
        <v>74.900000000000006</v>
      </c>
      <c r="C33" s="29" t="str" cm="1">
        <f t="array" ref="C33">ValorPorExtenso(B33)</f>
        <v>setenta e quatro reais e noventa centavos</v>
      </c>
    </row>
    <row r="34" spans="1:24" ht="18" customHeight="1" x14ac:dyDescent="0.35">
      <c r="A34" s="26" t="s">
        <v>77</v>
      </c>
      <c r="B34" s="28">
        <f>B33*12</f>
        <v>898.80000000000007</v>
      </c>
      <c r="C34" s="29" t="str" cm="1">
        <f t="array" ref="C34">ValorPorExtenso(B34)</f>
        <v>oitocentos e noventa e oito reais e oitenta centavos</v>
      </c>
    </row>
    <row r="36" spans="1:24" ht="18" customHeight="1" thickBot="1" x14ac:dyDescent="0.4">
      <c r="A36" s="47" t="s">
        <v>125</v>
      </c>
      <c r="B36" s="47"/>
      <c r="C36" s="47"/>
      <c r="J36" s="33" t="s">
        <v>123</v>
      </c>
      <c r="K36" s="33" t="s">
        <v>89</v>
      </c>
      <c r="L36" s="33" t="s">
        <v>92</v>
      </c>
      <c r="M36" s="33" t="s">
        <v>96</v>
      </c>
      <c r="N36" s="33" t="s">
        <v>98</v>
      </c>
      <c r="O36" s="33" t="s">
        <v>100</v>
      </c>
      <c r="P36" s="33" t="s">
        <v>103</v>
      </c>
      <c r="Q36" s="33" t="s">
        <v>106</v>
      </c>
      <c r="R36" s="33" t="s">
        <v>110</v>
      </c>
      <c r="S36" s="33" t="s">
        <v>113</v>
      </c>
      <c r="T36" s="33" t="s">
        <v>116</v>
      </c>
      <c r="U36" s="33" t="s">
        <v>124</v>
      </c>
      <c r="V36" s="33"/>
      <c r="W36" s="33"/>
      <c r="X36" s="33"/>
    </row>
    <row r="37" spans="1:24" ht="18" customHeight="1" x14ac:dyDescent="0.35">
      <c r="A37" s="41" t="s">
        <v>126</v>
      </c>
      <c r="B37" s="3" t="str">
        <f>B5</f>
        <v>Nome do Cliente</v>
      </c>
      <c r="C37" s="41"/>
    </row>
    <row r="38" spans="1:24" ht="18" customHeight="1" x14ac:dyDescent="0.35">
      <c r="A38" s="41" t="s">
        <v>127</v>
      </c>
      <c r="B38" s="42" t="s">
        <v>128</v>
      </c>
      <c r="C38" s="41"/>
    </row>
    <row r="39" spans="1:24" ht="18" customHeight="1" x14ac:dyDescent="0.35">
      <c r="A39" s="41" t="s">
        <v>129</v>
      </c>
      <c r="B39" s="42" t="str">
        <f>B25</f>
        <v>Endereço do Cliente</v>
      </c>
      <c r="C39" s="41"/>
    </row>
    <row r="40" spans="1:24" ht="18" customHeight="1" x14ac:dyDescent="0.35">
      <c r="A40" s="41" t="s">
        <v>130</v>
      </c>
      <c r="B40" s="42" t="str">
        <f>B26</f>
        <v>Erechim - RS</v>
      </c>
      <c r="C40" s="41"/>
    </row>
    <row r="41" spans="1:24" ht="18" customHeight="1" x14ac:dyDescent="0.35">
      <c r="A41" s="2" t="s">
        <v>2</v>
      </c>
      <c r="B41" s="43">
        <v>46229</v>
      </c>
      <c r="C41" s="41"/>
    </row>
  </sheetData>
  <mergeCells count="15">
    <mergeCell ref="A1:B1"/>
    <mergeCell ref="A22:B22"/>
    <mergeCell ref="I26:I27"/>
    <mergeCell ref="J26:J27"/>
    <mergeCell ref="I30:I32"/>
    <mergeCell ref="J30:J32"/>
    <mergeCell ref="A36:C36"/>
    <mergeCell ref="M30:M32"/>
    <mergeCell ref="N30:N32"/>
    <mergeCell ref="M26:M27"/>
    <mergeCell ref="N26:N27"/>
    <mergeCell ref="I28:I29"/>
    <mergeCell ref="J28:J29"/>
    <mergeCell ref="M28:M29"/>
    <mergeCell ref="N28:N29"/>
  </mergeCells>
  <dataValidations count="3">
    <dataValidation type="list" allowBlank="1" showInputMessage="1" showErrorMessage="1" sqref="B29" xr:uid="{278B4BFA-FDF4-4C09-BA79-A7444F7468C2}">
      <formula1>$O$6:$O$7</formula1>
    </dataValidation>
    <dataValidation type="list" allowBlank="1" showInputMessage="1" showErrorMessage="1" sqref="B31" xr:uid="{E18ABD68-9136-4FC8-B37E-502CFC65C653}">
      <formula1>$E$8:$G$8</formula1>
    </dataValidation>
    <dataValidation type="list" allowBlank="1" showInputMessage="1" showErrorMessage="1" sqref="B4" xr:uid="{B34D2998-4748-41FE-B062-165AAB10C562}">
      <formula1>$O$9:$O$10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D5F2-30C4-4550-B5F5-810B9C8DC1FA}">
  <sheetPr codeName="Planilha2"/>
  <dimension ref="A1:AW2"/>
  <sheetViews>
    <sheetView topLeftCell="AG1" workbookViewId="0">
      <selection activeCell="AX2" sqref="AX2"/>
    </sheetView>
  </sheetViews>
  <sheetFormatPr defaultRowHeight="14.5" x14ac:dyDescent="0.35"/>
  <cols>
    <col min="1" max="1" width="10.453125" bestFit="1" customWidth="1"/>
    <col min="2" max="2" width="20.36328125" bestFit="1" customWidth="1"/>
    <col min="3" max="3" width="20.36328125" customWidth="1"/>
    <col min="4" max="4" width="16.6328125" bestFit="1" customWidth="1"/>
    <col min="5" max="5" width="10.453125" bestFit="1" customWidth="1"/>
    <col min="6" max="6" width="13.453125" bestFit="1" customWidth="1"/>
    <col min="7" max="7" width="14.453125" bestFit="1" customWidth="1"/>
    <col min="8" max="8" width="12.81640625" bestFit="1" customWidth="1"/>
    <col min="9" max="9" width="7.90625" bestFit="1" customWidth="1"/>
    <col min="10" max="10" width="11.1796875" bestFit="1" customWidth="1"/>
    <col min="11" max="11" width="19.81640625" bestFit="1" customWidth="1"/>
    <col min="12" max="13" width="7.6328125" bestFit="1" customWidth="1"/>
    <col min="14" max="15" width="17.81640625" bestFit="1" customWidth="1"/>
    <col min="16" max="17" width="8.6328125" bestFit="1" customWidth="1"/>
    <col min="18" max="18" width="9.08984375" bestFit="1" customWidth="1"/>
    <col min="19" max="19" width="6" bestFit="1" customWidth="1"/>
    <col min="20" max="20" width="8.08984375" bestFit="1" customWidth="1"/>
    <col min="21" max="21" width="16.6328125" bestFit="1" customWidth="1"/>
    <col min="22" max="22" width="20.1796875" bestFit="1" customWidth="1"/>
    <col min="23" max="23" width="11.81640625" bestFit="1" customWidth="1"/>
    <col min="24" max="24" width="27.1796875" bestFit="1" customWidth="1"/>
    <col min="25" max="25" width="16" bestFit="1" customWidth="1"/>
    <col min="26" max="26" width="23.6328125" bestFit="1" customWidth="1"/>
    <col min="27" max="28" width="8.1796875" bestFit="1" customWidth="1"/>
    <col min="29" max="29" width="8.90625" bestFit="1" customWidth="1"/>
    <col min="49" max="49" width="10.453125" bestFit="1" customWidth="1"/>
  </cols>
  <sheetData>
    <row r="1" spans="1:49" x14ac:dyDescent="0.35">
      <c r="A1" t="s">
        <v>2</v>
      </c>
      <c r="B1" t="s">
        <v>43</v>
      </c>
      <c r="C1" t="s">
        <v>65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68</v>
      </c>
      <c r="O1" t="s">
        <v>69</v>
      </c>
      <c r="P1" t="s">
        <v>54</v>
      </c>
      <c r="Q1" t="s">
        <v>55</v>
      </c>
      <c r="R1" t="s">
        <v>56</v>
      </c>
      <c r="S1" t="s">
        <v>57</v>
      </c>
      <c r="T1" t="s">
        <v>4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21</v>
      </c>
      <c r="AB1" t="s">
        <v>64</v>
      </c>
      <c r="AC1" t="s">
        <v>23</v>
      </c>
      <c r="AD1" t="s">
        <v>78</v>
      </c>
      <c r="AE1" t="s">
        <v>79</v>
      </c>
      <c r="AF1" t="s">
        <v>80</v>
      </c>
      <c r="AG1" t="s">
        <v>123</v>
      </c>
      <c r="AH1" t="s">
        <v>89</v>
      </c>
      <c r="AI1" t="s">
        <v>92</v>
      </c>
      <c r="AJ1" t="s">
        <v>96</v>
      </c>
      <c r="AK1" t="s">
        <v>98</v>
      </c>
      <c r="AL1" t="s">
        <v>100</v>
      </c>
      <c r="AM1" t="s">
        <v>103</v>
      </c>
      <c r="AN1" t="s">
        <v>106</v>
      </c>
      <c r="AO1" t="s">
        <v>110</v>
      </c>
      <c r="AP1" t="s">
        <v>113</v>
      </c>
      <c r="AQ1" t="s">
        <v>116</v>
      </c>
      <c r="AR1" t="s">
        <v>124</v>
      </c>
      <c r="AS1" s="41" t="s">
        <v>131</v>
      </c>
      <c r="AT1" s="41" t="s">
        <v>132</v>
      </c>
      <c r="AU1" s="41" t="s">
        <v>133</v>
      </c>
      <c r="AV1" s="41" t="s">
        <v>134</v>
      </c>
      <c r="AW1" s="41" t="s">
        <v>135</v>
      </c>
    </row>
    <row r="2" spans="1:49" x14ac:dyDescent="0.35">
      <c r="A2" s="24">
        <f>'Orçamento Pós-Vendas'!B3</f>
        <v>46229</v>
      </c>
      <c r="B2" t="str">
        <f>'Orçamento Pós-Vendas'!B4</f>
        <v>João Victor Bagetti Fuchs</v>
      </c>
      <c r="C2" t="str">
        <f>'Orçamento Pós-Vendas'!O11</f>
        <v>(54) 98110-8228</v>
      </c>
      <c r="D2" t="str">
        <f>'Orçamento Pós-Vendas'!B5</f>
        <v>Nome do Cliente</v>
      </c>
      <c r="E2">
        <f>'Orçamento Pós-Vendas'!B6</f>
        <v>15</v>
      </c>
      <c r="F2">
        <f>'Orçamento Pós-Vendas'!B7</f>
        <v>1500</v>
      </c>
      <c r="G2">
        <f>'Orçamento Pós-Vendas'!B8</f>
        <v>125</v>
      </c>
      <c r="H2">
        <f>'Orçamento Pós-Vendas'!B9</f>
        <v>0</v>
      </c>
      <c r="I2">
        <f>'Orçamento Pós-Vendas'!B10</f>
        <v>1.5</v>
      </c>
      <c r="J2">
        <f>'Orçamento Pós-Vendas'!B12</f>
        <v>1.19</v>
      </c>
      <c r="K2">
        <f>'Orçamento Pós-Vendas'!B13</f>
        <v>148.75</v>
      </c>
      <c r="L2">
        <f>'Orçamento Pós-Vendas'!B14</f>
        <v>267.75</v>
      </c>
      <c r="M2">
        <f>'Orçamento Pós-Vendas'!B15</f>
        <v>357</v>
      </c>
      <c r="N2">
        <f>'Orçamento Pós-Vendas'!B16</f>
        <v>99.166666666666671</v>
      </c>
      <c r="O2">
        <f>'Orçamento Pós-Vendas'!B17</f>
        <v>148.75</v>
      </c>
      <c r="P2" t="str">
        <f>'Orçamento Pós-Vendas'!C23</f>
        <v>811.562.780-15</v>
      </c>
      <c r="Q2" t="str">
        <f>'Orçamento Pós-Vendas'!B25</f>
        <v>Endereço do Cliente</v>
      </c>
      <c r="R2" t="str">
        <f>'Orçamento Pós-Vendas'!B26</f>
        <v>Erechim - RS</v>
      </c>
      <c r="S2" t="str">
        <f>'Orçamento Pós-Vendas'!B27</f>
        <v>Email do cliente</v>
      </c>
      <c r="T2" t="str">
        <f>'Orçamento Pós-Vendas'!C28</f>
        <v>Digite 10 ou 11 dígitos</v>
      </c>
      <c r="U2" t="str">
        <f>'Orçamento Pós-Vendas'!B29</f>
        <v>Telhado</v>
      </c>
      <c r="V2" t="str">
        <f>'Orçamento Pós-Vendas'!B30</f>
        <v>Endereço do Cliente</v>
      </c>
      <c r="W2">
        <f>'Orçamento Pós-Vendas'!B11</f>
        <v>8.25</v>
      </c>
      <c r="X2" t="str">
        <f>'Orçamento Pós-Vendas'!B32</f>
        <v>Inversores do cliente</v>
      </c>
      <c r="Y2" t="str">
        <f>'Orçamento Pós-Vendas'!B31</f>
        <v>Inspeção</v>
      </c>
      <c r="Z2">
        <f>'Orçamento Pós-Vendas'!B33</f>
        <v>74.900000000000006</v>
      </c>
      <c r="AA2">
        <f>'Orçamento Pós-Vendas'!E9</f>
        <v>49.9</v>
      </c>
      <c r="AB2">
        <f>'Orçamento Pós-Vendas'!F9</f>
        <v>74.900000000000006</v>
      </c>
      <c r="AC2">
        <f>'Orçamento Pós-Vendas'!G9</f>
        <v>99.9</v>
      </c>
      <c r="AD2">
        <f>'Orçamento Pós-Vendas'!B34</f>
        <v>898.80000000000007</v>
      </c>
      <c r="AE2" t="str">
        <f>'Orçamento Pós-Vendas'!C34</f>
        <v>oitocentos e noventa e oito reais e oitenta centavos</v>
      </c>
      <c r="AF2" t="str">
        <f>'Orçamento Pós-Vendas'!C33</f>
        <v>setenta e quatro reais e noventa centavos</v>
      </c>
      <c r="AG2" s="34">
        <f>'Orçamento Pós-Vendas'!L17</f>
        <v>250</v>
      </c>
      <c r="AH2" s="34">
        <f>'Orçamento Pós-Vendas'!L18</f>
        <v>250</v>
      </c>
      <c r="AI2" s="34">
        <f>'Orçamento Pós-Vendas'!L19</f>
        <v>400</v>
      </c>
      <c r="AJ2" s="34">
        <f>'Orçamento Pós-Vendas'!L20</f>
        <v>300</v>
      </c>
      <c r="AK2" s="34">
        <f>'Orçamento Pós-Vendas'!L21</f>
        <v>300</v>
      </c>
      <c r="AL2" s="34">
        <f>'Orçamento Pós-Vendas'!L22</f>
        <v>300</v>
      </c>
      <c r="AM2" s="34">
        <f>'Orçamento Pós-Vendas'!L23</f>
        <v>350</v>
      </c>
      <c r="AN2" s="34">
        <f>'Orçamento Pós-Vendas'!L24</f>
        <v>600</v>
      </c>
      <c r="AO2" s="34">
        <f>'Orçamento Pós-Vendas'!L25</f>
        <v>150</v>
      </c>
      <c r="AP2" s="34">
        <f>'Orçamento Pós-Vendas'!L26</f>
        <v>120</v>
      </c>
      <c r="AQ2" s="34">
        <f>'Orçamento Pós-Vendas'!L28</f>
        <v>200</v>
      </c>
      <c r="AR2" s="34">
        <f>'Orçamento Pós-Vendas'!L30</f>
        <v>150</v>
      </c>
      <c r="AS2" t="str">
        <f>'Orçamento Pós-Vendas'!B37</f>
        <v>Nome do Cliente</v>
      </c>
      <c r="AT2" t="str">
        <f>'Orçamento Pós-Vendas'!B38</f>
        <v>CPF do cliente</v>
      </c>
      <c r="AU2" t="str">
        <f>'Orçamento Pós-Vendas'!B39</f>
        <v>Endereço do Cliente</v>
      </c>
      <c r="AV2" t="str">
        <f>'Orçamento Pós-Vendas'!B40</f>
        <v>Erechim - RS</v>
      </c>
      <c r="AW2" s="24">
        <f>'Orçamento Pós-Vendas'!B41</f>
        <v>46229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 Pós-Vendas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Victor Fuchs</cp:lastModifiedBy>
  <dcterms:created xsi:type="dcterms:W3CDTF">2026-07-24T16:56:24Z</dcterms:created>
  <dcterms:modified xsi:type="dcterms:W3CDTF">2026-09-10T13:50:23Z</dcterms:modified>
</cp:coreProperties>
</file>