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Y:\1 - Clientes\01 - NOVO CLIENTE\Orçamento\Rev 0\"/>
    </mc:Choice>
  </mc:AlternateContent>
  <xr:revisionPtr revIDLastSave="0" documentId="13_ncr:1_{3F7E2702-E3A4-46FA-A01D-949F294A20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rçamento" sheetId="1" r:id="rId1"/>
    <sheet name="Base" sheetId="2" r:id="rId2"/>
  </sheets>
  <definedNames>
    <definedName name="PerdaPot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B48" i="1"/>
  <c r="AJ2" i="2"/>
  <c r="AR2" i="2"/>
  <c r="AQ2" i="2"/>
  <c r="AX2" i="2"/>
  <c r="AW2" i="2"/>
  <c r="AV2" i="2"/>
  <c r="AU2" i="2"/>
  <c r="AT2" i="2"/>
  <c r="AP2" i="2"/>
  <c r="Y2" i="2"/>
  <c r="X2" i="2"/>
  <c r="W2" i="2"/>
  <c r="V2" i="2"/>
  <c r="U2" i="2"/>
  <c r="T2" i="2"/>
  <c r="S2" i="2"/>
  <c r="R2" i="2"/>
  <c r="Q2" i="2"/>
  <c r="P2" i="2"/>
  <c r="O2" i="2"/>
  <c r="N2" i="2"/>
  <c r="I2" i="2"/>
  <c r="H2" i="2"/>
  <c r="F2" i="2" l="1"/>
  <c r="E2" i="2"/>
  <c r="D2" i="2"/>
  <c r="B2" i="2"/>
  <c r="A2" i="2"/>
  <c r="B2" i="1" l="1"/>
  <c r="R14" i="1"/>
  <c r="C2" i="2" s="1"/>
  <c r="V52" i="1"/>
  <c r="V53" i="1" s="1"/>
  <c r="AF23" i="1"/>
  <c r="AD23" i="1"/>
  <c r="W23" i="1"/>
  <c r="V23" i="1"/>
  <c r="E5" i="1"/>
  <c r="M5" i="1"/>
  <c r="E6" i="1"/>
  <c r="M6" i="1"/>
  <c r="M4" i="1"/>
  <c r="G5" i="1" l="1"/>
  <c r="G6" i="1"/>
  <c r="M3" i="1"/>
  <c r="E4" i="1"/>
  <c r="G4" i="1" s="1"/>
  <c r="B32" i="1" l="1"/>
  <c r="G9" i="1"/>
  <c r="B42" i="1" s="1"/>
  <c r="AO2" i="2" s="1"/>
  <c r="G10" i="1"/>
  <c r="B33" i="1" l="1"/>
  <c r="K2" i="2" s="1"/>
  <c r="G2" i="2"/>
  <c r="B31" i="1"/>
  <c r="J2" i="2" s="1"/>
  <c r="B35" i="1"/>
  <c r="B49" i="1" l="1"/>
  <c r="B50" i="1"/>
  <c r="M2" i="2"/>
  <c r="Z3" i="1"/>
  <c r="Z32" i="1"/>
  <c r="B36" i="1"/>
  <c r="L2" i="2" s="1"/>
  <c r="B37" i="1" l="1"/>
  <c r="Z2" i="2" s="1"/>
  <c r="B38" i="1"/>
  <c r="AA2" i="2" s="1"/>
  <c r="Z33" i="1"/>
  <c r="Z34" i="1" s="1"/>
  <c r="Z35" i="1" s="1"/>
  <c r="Z36" i="1" s="1"/>
  <c r="Z37" i="1" s="1"/>
  <c r="Z4" i="1"/>
  <c r="Z5" i="1" s="1"/>
  <c r="Z6" i="1" s="1"/>
  <c r="Z7" i="1" s="1"/>
  <c r="Z8" i="1" s="1"/>
  <c r="Z9" i="1" l="1"/>
  <c r="Z10" i="1" s="1"/>
  <c r="Z11" i="1" s="1"/>
  <c r="Z12" i="1" s="1"/>
  <c r="Z13" i="1" s="1"/>
  <c r="B39" i="1"/>
  <c r="AB2" i="2" s="1"/>
  <c r="Z38" i="1"/>
  <c r="Z39" i="1" s="1"/>
  <c r="Z40" i="1" s="1"/>
  <c r="Z41" i="1" s="1"/>
  <c r="Z42" i="1" s="1"/>
  <c r="Z14" i="1" l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B41" i="1" s="1"/>
  <c r="AD2" i="2" s="1"/>
  <c r="B40" i="1"/>
  <c r="AC2" i="2" s="1"/>
  <c r="Z43" i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AE2" i="2"/>
  <c r="AF2" i="2"/>
  <c r="AG2" i="2"/>
  <c r="AH2" i="2"/>
  <c r="AI2" i="2"/>
  <c r="AK2" i="2"/>
  <c r="AL2" i="2"/>
  <c r="AM2" i="2"/>
  <c r="AN2" i="2"/>
  <c r="AS2" i="2"/>
  <c r="AA3" i="1"/>
  <c r="AA4" i="1"/>
  <c r="AA5" i="1"/>
  <c r="AA6" i="1"/>
  <c r="AA7" i="1"/>
  <c r="AA8" i="1"/>
  <c r="B9" i="1"/>
  <c r="AA9" i="1"/>
  <c r="AA10" i="1"/>
  <c r="AA11" i="1"/>
  <c r="B12" i="1"/>
  <c r="AA12" i="1"/>
  <c r="B13" i="1"/>
  <c r="AA13" i="1"/>
  <c r="B14" i="1"/>
  <c r="AA14" i="1"/>
  <c r="B15" i="1"/>
  <c r="R15" i="1"/>
  <c r="AA15" i="1"/>
  <c r="B16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32" i="1"/>
  <c r="AA33" i="1"/>
  <c r="B34" i="1"/>
  <c r="D34" i="1"/>
  <c r="AA34" i="1"/>
  <c r="D35" i="1"/>
  <c r="AA35" i="1"/>
  <c r="D36" i="1"/>
  <c r="AA36" i="1"/>
  <c r="F37" i="1"/>
  <c r="AA37" i="1"/>
  <c r="AA38" i="1"/>
  <c r="AA39" i="1"/>
  <c r="AA40" i="1"/>
  <c r="AA41" i="1"/>
  <c r="AA42" i="1"/>
  <c r="B43" i="1"/>
  <c r="AA43" i="1"/>
  <c r="B44" i="1"/>
  <c r="AA44" i="1"/>
  <c r="B45" i="1"/>
  <c r="AA45" i="1"/>
  <c r="B46" i="1"/>
  <c r="AA46" i="1"/>
  <c r="B47" i="1"/>
  <c r="AA47" i="1"/>
  <c r="AA48" i="1"/>
  <c r="AA49" i="1"/>
  <c r="AA50" i="1"/>
  <c r="AA51" i="1"/>
  <c r="AA52" i="1"/>
  <c r="AA53" i="1"/>
  <c r="AA54" i="1"/>
  <c r="AA55" i="1"/>
  <c r="AA56" i="1"/>
  <c r="AA57" i="1"/>
</calcChain>
</file>

<file path=xl/sharedStrings.xml><?xml version="1.0" encoding="utf-8"?>
<sst xmlns="http://schemas.openxmlformats.org/spreadsheetml/2006/main" count="291" uniqueCount="209">
  <si>
    <t>Formação de Preço</t>
  </si>
  <si>
    <t>MATERIAIS Kit Fotovoltaico</t>
  </si>
  <si>
    <t>Empresa</t>
  </si>
  <si>
    <t>Potência</t>
  </si>
  <si>
    <t>R$</t>
  </si>
  <si>
    <t>R$/kW</t>
  </si>
  <si>
    <t>Placas</t>
  </si>
  <si>
    <t>Pot. Placas</t>
  </si>
  <si>
    <t>Estrutura</t>
  </si>
  <si>
    <t>Orientação</t>
  </si>
  <si>
    <t>Geração. SOLergo Anual (kWh)</t>
  </si>
  <si>
    <t>Geração. SOLergo Mensal (kWh)</t>
  </si>
  <si>
    <t>MÃO DE OBRA INSTALAÇÃO</t>
  </si>
  <si>
    <t>MATERIAIS EXTRAS - INSTALAÇÃO</t>
  </si>
  <si>
    <t>FRETE + GUINCHO</t>
  </si>
  <si>
    <t>Geração Solergo Mensal</t>
  </si>
  <si>
    <t>SATAPAS DE CONCRETO</t>
  </si>
  <si>
    <t>Potencia do sistema</t>
  </si>
  <si>
    <t>Numero de placas</t>
  </si>
  <si>
    <t>SUBESTAÇÃO DE ENERGIA</t>
  </si>
  <si>
    <t>TERCEIRIZAÇÃO DE SERVIÇOS</t>
  </si>
  <si>
    <t>RISCO DE ENGENHARIA</t>
  </si>
  <si>
    <t>IMPOSTOS</t>
  </si>
  <si>
    <t>TOTAL DO PROJETO</t>
  </si>
  <si>
    <t>R$ / KW</t>
  </si>
  <si>
    <t>Ano</t>
  </si>
  <si>
    <t>Residencial</t>
  </si>
  <si>
    <t>Potência do Sistema (kwp)</t>
  </si>
  <si>
    <t>Numero de Placas</t>
  </si>
  <si>
    <t>Valor a vista</t>
  </si>
  <si>
    <t>Geração em Kwh/mês</t>
  </si>
  <si>
    <t>Economia em 1 anos</t>
  </si>
  <si>
    <t>Economia em 5 anos</t>
  </si>
  <si>
    <t>Economia em 10 anos</t>
  </si>
  <si>
    <t>ADMINISTRAÇÃO</t>
  </si>
  <si>
    <t>IBS</t>
  </si>
  <si>
    <t>L</t>
  </si>
  <si>
    <t>Maxsul</t>
  </si>
  <si>
    <t>Fibro</t>
  </si>
  <si>
    <t>OIW</t>
  </si>
  <si>
    <t>Foco</t>
  </si>
  <si>
    <t>Mês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</si>
  <si>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</si>
  <si>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</si>
  <si>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</si>
  <si>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</si>
  <si>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</si>
  <si>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</si>
  <si>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</si>
  <si>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</si>
  <si>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</si>
  <si>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</si>
  <si>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Area total</t>
  </si>
  <si>
    <t>30%</t>
  </si>
  <si>
    <t>GD Eco Líquida (R$/kWh)</t>
  </si>
  <si>
    <t>FS</t>
  </si>
  <si>
    <t>FioB (R$/kWh)</t>
  </si>
  <si>
    <t>Tarifa (R$/kWh)</t>
  </si>
  <si>
    <t>70%</t>
  </si>
  <si>
    <t>Representante comercial</t>
  </si>
  <si>
    <t>Tipo de cliente</t>
  </si>
  <si>
    <t>Comercial</t>
  </si>
  <si>
    <t>Grupo A</t>
  </si>
  <si>
    <t>Kwh</t>
  </si>
  <si>
    <t>Potência Remanescente (%)</t>
  </si>
  <si>
    <t>Degradação Anual (%)</t>
  </si>
  <si>
    <t>Perda Acumulada (%)</t>
  </si>
  <si>
    <t>Observação</t>
  </si>
  <si>
    <t>0</t>
  </si>
  <si>
    <t>100.00%</t>
  </si>
  <si>
    <t>—</t>
  </si>
  <si>
    <t>Início da operação</t>
  </si>
  <si>
    <t>1</t>
  </si>
  <si>
    <t>98.00%</t>
  </si>
  <si>
    <t>2.00%</t>
  </si>
  <si>
    <t>LID - Light Induced Degradation</t>
  </si>
  <si>
    <t>2</t>
  </si>
  <si>
    <t>97.45%</t>
  </si>
  <si>
    <t>0.55%</t>
  </si>
  <si>
    <t>2.55%</t>
  </si>
  <si>
    <t>Degradação linear</t>
  </si>
  <si>
    <t>3</t>
  </si>
  <si>
    <t>96.90%</t>
  </si>
  <si>
    <t>3.10%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</si>
  <si>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</si>
  <si>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</si>
  <si>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</si>
  <si>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</si>
  <si>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</si>
  <si>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</si>
  <si>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</si>
  <si>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</si>
  <si>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</si>
  <si>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</si>
  <si>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</si>
  <si>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</si>
  <si>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</si>
  <si>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</si>
  <si>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</si>
  <si>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</si>
  <si>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</si>
  <si>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</si>
  <si>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</si>
  <si>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</si>
  <si>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</si>
  <si>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84.80%</t>
  </si>
  <si>
    <t>15.20%</t>
  </si>
  <si>
    <t>Fim da garantia linear (≥80% exigido)</t>
  </si>
  <si>
    <t>▶ RESUMO</t>
  </si>
  <si>
    <t>Potência no Ano 25</t>
  </si>
  <si>
    <t>Degradação Média Anual (excluindo Ano 1)</t>
  </si>
  <si>
    <t>Perda Total Acumulada em 25 anos</t>
  </si>
  <si>
    <t>Vida Útil Estimada (até 80%)</t>
  </si>
  <si>
    <t>~26.3 anos</t>
  </si>
  <si>
    <t>Taxa mensal de juros</t>
  </si>
  <si>
    <t>Número de parcelas</t>
  </si>
  <si>
    <t>IOF total</t>
  </si>
  <si>
    <t>Banco 1</t>
  </si>
  <si>
    <t>Banco 2</t>
  </si>
  <si>
    <t>Valor da conta daqui a 10 anos (reajuste 9%)</t>
  </si>
  <si>
    <t>Valor da conta daqui a 4 anos (reajuste 9%)</t>
  </si>
  <si>
    <t>Retorno do investimento</t>
  </si>
  <si>
    <t>Data da proposta</t>
  </si>
  <si>
    <t>Nome do Cliente</t>
  </si>
  <si>
    <t>Descrição Painéis solares</t>
  </si>
  <si>
    <t>Descrição Inversor</t>
  </si>
  <si>
    <t>Solis</t>
  </si>
  <si>
    <t>NOME_CLIENTE</t>
  </si>
  <si>
    <t>NOME_REPRESENTANTE</t>
  </si>
  <si>
    <t>CONTATO_REPRESENTANTE</t>
  </si>
  <si>
    <t>Contato Representate</t>
  </si>
  <si>
    <t>Economia em 1 mês</t>
  </si>
  <si>
    <t>Economia em 25 anos</t>
  </si>
  <si>
    <t>Classe do Cliente</t>
  </si>
  <si>
    <t>COMISSÃO</t>
  </si>
  <si>
    <t>INDICAÇÃO</t>
  </si>
  <si>
    <t>Valor gasto em um mes com RGE</t>
  </si>
  <si>
    <t>Valor gasto em 1 ano com RGE sem PV</t>
  </si>
  <si>
    <t>Valor gasto em 5 anos com RGE sem PV</t>
  </si>
  <si>
    <t>Valor gasto em 10 anos com RGE sem PV</t>
  </si>
  <si>
    <t>Valor gasto em 25 anos com RGE sem PV</t>
  </si>
  <si>
    <t>Representantes</t>
  </si>
  <si>
    <t>João Victor Bagetti Fuchs</t>
  </si>
  <si>
    <t>Daniel Rotava</t>
  </si>
  <si>
    <t>54 98110 8228</t>
  </si>
  <si>
    <t>54 99646 8910</t>
  </si>
  <si>
    <t>Gasto acum.</t>
  </si>
  <si>
    <t>Economia Acum.</t>
  </si>
  <si>
    <t>20 de julho de 2026</t>
  </si>
  <si>
    <t>Valor da conta no primeiro mês após instalar</t>
  </si>
  <si>
    <t>Data_Proposta</t>
  </si>
  <si>
    <t>Descricao_paineis</t>
  </si>
  <si>
    <t>descricao_inversores</t>
  </si>
  <si>
    <t>QTD_Paineis</t>
  </si>
  <si>
    <t>QTD_Inversores</t>
  </si>
  <si>
    <t>Estrutura_Fix</t>
  </si>
  <si>
    <t>Potencia</t>
  </si>
  <si>
    <t>Area</t>
  </si>
  <si>
    <t>Producao_anual</t>
  </si>
  <si>
    <t>Producao_mensal</t>
  </si>
  <si>
    <t>Dezembro</t>
  </si>
  <si>
    <t>Cresol</t>
  </si>
  <si>
    <t>Caixa</t>
  </si>
  <si>
    <t>Geração anual estimada (kwh)</t>
  </si>
  <si>
    <t>Relação de orçamentos de materiais</t>
  </si>
  <si>
    <t>MKT, Combustível</t>
  </si>
  <si>
    <t>Desconto</t>
  </si>
  <si>
    <t>Consumo Atual do Cliente</t>
  </si>
  <si>
    <t>Fevereiro</t>
  </si>
  <si>
    <t>Economiaem1mes</t>
  </si>
  <si>
    <t>Economiaem1anos</t>
  </si>
  <si>
    <t>Economiaem5anos</t>
  </si>
  <si>
    <t>Economiaem10anos</t>
  </si>
  <si>
    <t>Economiaem25anos</t>
  </si>
  <si>
    <t>Valorgastoem1ano</t>
  </si>
  <si>
    <t>Valorgasto5anos</t>
  </si>
  <si>
    <t>Valorgasto10anos</t>
  </si>
  <si>
    <t>Valorgastoem25anos</t>
  </si>
  <si>
    <t>Retornodoinvestimento</t>
  </si>
  <si>
    <t>Valor_total</t>
  </si>
  <si>
    <t>Payback</t>
  </si>
  <si>
    <t>ParcelaB1</t>
  </si>
  <si>
    <t>ParcelaB2</t>
  </si>
  <si>
    <t>Contahoje</t>
  </si>
  <si>
    <t>Nparcelas</t>
  </si>
  <si>
    <t>GarantiaPaineis</t>
  </si>
  <si>
    <t>Garantiainversor</t>
  </si>
  <si>
    <t>garantiadesenpenho</t>
  </si>
  <si>
    <t>Código FINAME</t>
  </si>
  <si>
    <t>Garantia Painéis</t>
  </si>
  <si>
    <t>Garantia Inversor</t>
  </si>
  <si>
    <t>Garantia de eficiência</t>
  </si>
  <si>
    <t>CodFiname</t>
  </si>
  <si>
    <t>desempenho</t>
  </si>
  <si>
    <t>Quantidade de inversores</t>
  </si>
  <si>
    <t>Estruturas de fixação</t>
  </si>
  <si>
    <t xml:space="preserve">Estruturas fibrocimento </t>
  </si>
  <si>
    <t>Tempo garantia Eficiência</t>
  </si>
  <si>
    <t>-</t>
  </si>
  <si>
    <t>Cartão de credito</t>
  </si>
  <si>
    <t>Parcelas</t>
  </si>
  <si>
    <t>Com imposto produto</t>
  </si>
  <si>
    <t>Stone</t>
  </si>
  <si>
    <t>Contacomsolar</t>
  </si>
  <si>
    <t>nparcelascartao</t>
  </si>
  <si>
    <t>juroscartao</t>
  </si>
  <si>
    <t>valorparcelacartao</t>
  </si>
  <si>
    <t>Cliente Delfos</t>
  </si>
  <si>
    <t>Placas fotovoltaicas Trina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</si>
</sst>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#,##0.0"/>
    <numFmt numFmtId="166" formatCode="_-&quot;R$&quot;\ * #,##0.00_-;\-&quot;R$&quot;\ * #,##0.00_-;_-&quot;R$&quot;\ * &quot;-&quot;??_-;_-@"/>
    <numFmt numFmtId="167" formatCode="0.000"/>
    <numFmt numFmtId="168" formatCode="0.0%"/>
    <numFmt numFmtId="169" formatCode="&quot;R$&quot;\ #,##0.00"/>
  </numFmts>
  <fonts count="19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FFFFFF"/>
      <name val="Verdana"/>
      <family val="2"/>
    </font>
    <font>
      <sz val="9"/>
      <color theme="1"/>
      <name val="Verdana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rial Unicode MS"/>
    </font>
    <font>
      <sz val="11"/>
      <color theme="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A4C2F4"/>
        <bgColor rgb="FFA4C2F4"/>
      </patternFill>
    </fill>
    <fill>
      <patternFill patternType="solid">
        <fgColor rgb="FFE5B8B7"/>
        <bgColor rgb="FFE5B8B7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4A6F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FF0000"/>
      </patternFill>
    </fill>
    <fill>
      <patternFill patternType="solid">
        <fgColor rgb="FF92D050"/>
        <bgColor rgb="FF00B050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4"/>
  </cellStyleXfs>
  <cellXfs count="147">
    <xf numFmtId="0" fontId="0" fillId="0" borderId="0" xfId="0"/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9" borderId="0" xfId="0" applyFont="1" applyFill="1"/>
    <xf numFmtId="4" fontId="2" fillId="9" borderId="0" xfId="0" applyNumberFormat="1" applyFont="1" applyFill="1"/>
    <xf numFmtId="4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8" fillId="0" borderId="0" xfId="0" applyFont="1"/>
    <xf numFmtId="43" fontId="3" fillId="0" borderId="0" xfId="0" applyNumberFormat="1" applyFont="1"/>
    <xf numFmtId="44" fontId="3" fillId="0" borderId="0" xfId="1" applyFont="1"/>
    <xf numFmtId="8" fontId="3" fillId="0" borderId="0" xfId="0" applyNumberFormat="1" applyFont="1"/>
    <xf numFmtId="44" fontId="3" fillId="0" borderId="0" xfId="0" applyNumberFormat="1" applyFont="1"/>
    <xf numFmtId="2" fontId="3" fillId="12" borderId="6" xfId="0" applyNumberFormat="1" applyFont="1" applyFill="1" applyBorder="1" applyAlignment="1">
      <alignment horizontal="center"/>
    </xf>
    <xf numFmtId="44" fontId="3" fillId="0" borderId="4" xfId="1" applyFont="1" applyFill="1" applyBorder="1"/>
    <xf numFmtId="8" fontId="8" fillId="0" borderId="4" xfId="1" applyNumberFormat="1" applyFont="1" applyFill="1" applyBorder="1"/>
    <xf numFmtId="0" fontId="8" fillId="13" borderId="6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8" fontId="3" fillId="13" borderId="6" xfId="0" applyNumberFormat="1" applyFont="1" applyFill="1" applyBorder="1" applyAlignment="1">
      <alignment horizontal="center"/>
    </xf>
    <xf numFmtId="2" fontId="3" fillId="13" borderId="6" xfId="0" applyNumberFormat="1" applyFont="1" applyFill="1" applyBorder="1" applyAlignment="1">
      <alignment horizontal="center"/>
    </xf>
    <xf numFmtId="165" fontId="3" fillId="13" borderId="6" xfId="0" applyNumberFormat="1" applyFont="1" applyFill="1" applyBorder="1" applyAlignment="1">
      <alignment horizontal="center"/>
    </xf>
    <xf numFmtId="4" fontId="3" fillId="13" borderId="6" xfId="0" applyNumberFormat="1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2" fontId="3" fillId="12" borderId="5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8" fontId="8" fillId="0" borderId="6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2" fontId="3" fillId="14" borderId="5" xfId="0" applyNumberFormat="1" applyFont="1" applyFill="1" applyBorder="1" applyAlignment="1">
      <alignment horizontal="center"/>
    </xf>
    <xf numFmtId="8" fontId="3" fillId="14" borderId="5" xfId="0" applyNumberFormat="1" applyFont="1" applyFill="1" applyBorder="1" applyAlignment="1">
      <alignment horizontal="center"/>
    </xf>
    <xf numFmtId="165" fontId="3" fillId="14" borderId="5" xfId="0" applyNumberFormat="1" applyFont="1" applyFill="1" applyBorder="1" applyAlignment="1">
      <alignment horizontal="center"/>
    </xf>
    <xf numFmtId="4" fontId="3" fillId="14" borderId="5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" fillId="16" borderId="7" xfId="3" applyFill="1" applyBorder="1" applyAlignment="1">
      <alignment horizontal="right" vertical="center"/>
    </xf>
    <xf numFmtId="0" fontId="1" fillId="16" borderId="7" xfId="3" applyFill="1" applyBorder="1" applyAlignment="1">
      <alignment horizontal="left" vertical="center"/>
    </xf>
    <xf numFmtId="0" fontId="1" fillId="4" borderId="7" xfId="3" applyFill="1" applyBorder="1" applyAlignment="1">
      <alignment horizontal="right" vertical="center"/>
    </xf>
    <xf numFmtId="0" fontId="1" fillId="4" borderId="7" xfId="3" applyFill="1" applyBorder="1" applyAlignment="1">
      <alignment horizontal="left" vertical="center"/>
    </xf>
    <xf numFmtId="0" fontId="13" fillId="17" borderId="8" xfId="3" applyFont="1" applyFill="1" applyBorder="1" applyAlignment="1">
      <alignment horizontal="center" vertical="center"/>
    </xf>
    <xf numFmtId="4" fontId="3" fillId="12" borderId="6" xfId="0" applyNumberFormat="1" applyFont="1" applyFill="1" applyBorder="1"/>
    <xf numFmtId="3" fontId="2" fillId="9" borderId="0" xfId="0" applyNumberFormat="1" applyFont="1" applyFill="1"/>
    <xf numFmtId="0" fontId="13" fillId="17" borderId="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0" fillId="16" borderId="7" xfId="0" applyFill="1" applyBorder="1" applyAlignment="1">
      <alignment horizontal="left" vertical="center"/>
    </xf>
    <xf numFmtId="0" fontId="13" fillId="18" borderId="9" xfId="0" applyFont="1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10" fontId="0" fillId="4" borderId="7" xfId="0" applyNumberFormat="1" applyFill="1" applyBorder="1" applyAlignment="1">
      <alignment horizontal="left" vertical="center"/>
    </xf>
    <xf numFmtId="10" fontId="0" fillId="16" borderId="7" xfId="0" applyNumberFormat="1" applyFill="1" applyBorder="1" applyAlignment="1">
      <alignment horizontal="left" vertical="center"/>
    </xf>
    <xf numFmtId="10" fontId="0" fillId="4" borderId="7" xfId="2" applyNumberFormat="1" applyFont="1" applyFill="1" applyBorder="1" applyAlignment="1">
      <alignment horizontal="left" vertical="center"/>
    </xf>
    <xf numFmtId="10" fontId="0" fillId="16" borderId="7" xfId="2" applyNumberFormat="1" applyFont="1" applyFill="1" applyBorder="1" applyAlignment="1">
      <alignment horizontal="left" vertical="center"/>
    </xf>
    <xf numFmtId="0" fontId="14" fillId="0" borderId="0" xfId="0" applyFont="1"/>
    <xf numFmtId="0" fontId="14" fillId="0" borderId="6" xfId="0" applyFont="1" applyBorder="1"/>
    <xf numFmtId="8" fontId="14" fillId="0" borderId="0" xfId="0" applyNumberFormat="1" applyFont="1"/>
    <xf numFmtId="8" fontId="14" fillId="0" borderId="0" xfId="0" quotePrefix="1" applyNumberFormat="1" applyFont="1"/>
    <xf numFmtId="10" fontId="14" fillId="12" borderId="6" xfId="0" applyNumberFormat="1" applyFont="1" applyFill="1" applyBorder="1"/>
    <xf numFmtId="0" fontId="8" fillId="0" borderId="6" xfId="0" applyFont="1" applyBorder="1"/>
    <xf numFmtId="44" fontId="6" fillId="0" borderId="0" xfId="0" applyNumberFormat="1" applyFont="1"/>
    <xf numFmtId="0" fontId="4" fillId="0" borderId="0" xfId="0" applyFont="1"/>
    <xf numFmtId="4" fontId="0" fillId="0" borderId="0" xfId="0" applyNumberFormat="1"/>
    <xf numFmtId="0" fontId="3" fillId="0" borderId="6" xfId="0" applyFont="1" applyBorder="1"/>
    <xf numFmtId="0" fontId="13" fillId="17" borderId="4" xfId="3" applyFont="1" applyFill="1" applyAlignment="1">
      <alignment horizontal="center" vertical="center"/>
    </xf>
    <xf numFmtId="0" fontId="1" fillId="0" borderId="7" xfId="3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10" fontId="0" fillId="0" borderId="7" xfId="0" applyNumberFormat="1" applyBorder="1" applyAlignment="1">
      <alignment horizontal="left" vertical="center"/>
    </xf>
    <xf numFmtId="10" fontId="0" fillId="0" borderId="7" xfId="2" applyNumberFormat="1" applyFont="1" applyFill="1" applyBorder="1" applyAlignment="1">
      <alignment horizontal="left" vertical="center"/>
    </xf>
    <xf numFmtId="167" fontId="1" fillId="4" borderId="7" xfId="3" applyNumberFormat="1" applyFill="1" applyBorder="1" applyAlignment="1">
      <alignment horizontal="right" vertical="center"/>
    </xf>
    <xf numFmtId="167" fontId="1" fillId="16" borderId="7" xfId="3" applyNumberFormat="1" applyFill="1" applyBorder="1" applyAlignment="1">
      <alignment horizontal="right" vertical="center"/>
    </xf>
    <xf numFmtId="167" fontId="1" fillId="0" borderId="7" xfId="3" applyNumberFormat="1" applyBorder="1" applyAlignment="1">
      <alignment horizontal="right" vertical="center"/>
    </xf>
    <xf numFmtId="9" fontId="1" fillId="0" borderId="7" xfId="3" applyNumberFormat="1" applyBorder="1" applyAlignment="1">
      <alignment horizontal="left" vertical="center"/>
    </xf>
    <xf numFmtId="10" fontId="0" fillId="0" borderId="0" xfId="0" applyNumberFormat="1"/>
    <xf numFmtId="44" fontId="1" fillId="4" borderId="6" xfId="1" applyFont="1" applyFill="1" applyBorder="1" applyAlignment="1">
      <alignment horizontal="right" vertical="center"/>
    </xf>
    <xf numFmtId="44" fontId="1" fillId="16" borderId="6" xfId="1" applyFont="1" applyFill="1" applyBorder="1" applyAlignment="1">
      <alignment horizontal="right" vertical="center"/>
    </xf>
    <xf numFmtId="44" fontId="1" fillId="0" borderId="6" xfId="1" applyFont="1" applyFill="1" applyBorder="1" applyAlignment="1">
      <alignment horizontal="right" vertical="center"/>
    </xf>
    <xf numFmtId="44" fontId="0" fillId="0" borderId="0" xfId="0" applyNumberFormat="1"/>
    <xf numFmtId="166" fontId="7" fillId="0" borderId="3" xfId="0" applyNumberFormat="1" applyFont="1" applyBorder="1" applyAlignment="1">
      <alignment horizontal="right"/>
    </xf>
    <xf numFmtId="0" fontId="9" fillId="1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1" fontId="10" fillId="12" borderId="6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3" fillId="0" borderId="4" xfId="0" applyFont="1" applyBorder="1"/>
    <xf numFmtId="0" fontId="3" fillId="12" borderId="6" xfId="0" applyFont="1" applyFill="1" applyBorder="1"/>
    <xf numFmtId="0" fontId="5" fillId="14" borderId="6" xfId="0" applyFont="1" applyFill="1" applyBorder="1"/>
    <xf numFmtId="44" fontId="3" fillId="0" borderId="4" xfId="1" applyFont="1" applyBorder="1"/>
    <xf numFmtId="0" fontId="0" fillId="0" borderId="4" xfId="0" applyBorder="1"/>
    <xf numFmtId="0" fontId="11" fillId="0" borderId="4" xfId="0" applyFont="1" applyBorder="1"/>
    <xf numFmtId="4" fontId="5" fillId="14" borderId="6" xfId="0" applyNumberFormat="1" applyFont="1" applyFill="1" applyBorder="1" applyAlignment="1">
      <alignment horizontal="center"/>
    </xf>
    <xf numFmtId="0" fontId="6" fillId="20" borderId="6" xfId="0" applyFont="1" applyFill="1" applyBorder="1"/>
    <xf numFmtId="0" fontId="15" fillId="19" borderId="6" xfId="0" applyFont="1" applyFill="1" applyBorder="1"/>
    <xf numFmtId="3" fontId="5" fillId="14" borderId="6" xfId="0" applyNumberFormat="1" applyFont="1" applyFill="1" applyBorder="1" applyAlignment="1">
      <alignment horizontal="center"/>
    </xf>
    <xf numFmtId="0" fontId="14" fillId="14" borderId="6" xfId="0" applyFont="1" applyFill="1" applyBorder="1"/>
    <xf numFmtId="0" fontId="16" fillId="0" borderId="0" xfId="0" applyFont="1"/>
    <xf numFmtId="4" fontId="3" fillId="0" borderId="4" xfId="0" applyNumberFormat="1" applyFont="1" applyBorder="1"/>
    <xf numFmtId="8" fontId="3" fillId="0" borderId="4" xfId="0" applyNumberFormat="1" applyFont="1" applyBorder="1"/>
    <xf numFmtId="0" fontId="16" fillId="2" borderId="6" xfId="0" applyFont="1" applyFill="1" applyBorder="1"/>
    <xf numFmtId="0" fontId="16" fillId="6" borderId="6" xfId="0" applyFont="1" applyFill="1" applyBorder="1"/>
    <xf numFmtId="44" fontId="16" fillId="6" borderId="6" xfId="1" applyFont="1" applyFill="1" applyBorder="1" applyAlignment="1">
      <alignment horizontal="right"/>
    </xf>
    <xf numFmtId="0" fontId="16" fillId="8" borderId="6" xfId="0" applyFont="1" applyFill="1" applyBorder="1"/>
    <xf numFmtId="44" fontId="16" fillId="8" borderId="6" xfId="1" applyFont="1" applyFill="1" applyBorder="1"/>
    <xf numFmtId="0" fontId="16" fillId="10" borderId="6" xfId="0" applyFont="1" applyFill="1" applyBorder="1"/>
    <xf numFmtId="44" fontId="16" fillId="10" borderId="6" xfId="1" applyFont="1" applyFill="1" applyBorder="1"/>
    <xf numFmtId="0" fontId="16" fillId="7" borderId="6" xfId="0" applyFont="1" applyFill="1" applyBorder="1"/>
    <xf numFmtId="44" fontId="16" fillId="7" borderId="6" xfId="1" applyFont="1" applyFill="1" applyBorder="1" applyAlignment="1">
      <alignment horizontal="right"/>
    </xf>
    <xf numFmtId="0" fontId="16" fillId="11" borderId="6" xfId="0" applyFont="1" applyFill="1" applyBorder="1"/>
    <xf numFmtId="44" fontId="16" fillId="11" borderId="6" xfId="1" applyFont="1" applyFill="1" applyBorder="1"/>
    <xf numFmtId="44" fontId="16" fillId="11" borderId="6" xfId="1" applyFont="1" applyFill="1" applyBorder="1" applyAlignment="1">
      <alignment horizontal="right"/>
    </xf>
    <xf numFmtId="0" fontId="16" fillId="21" borderId="6" xfId="0" applyFont="1" applyFill="1" applyBorder="1"/>
    <xf numFmtId="0" fontId="16" fillId="5" borderId="6" xfId="0" applyFont="1" applyFill="1" applyBorder="1"/>
    <xf numFmtId="44" fontId="16" fillId="5" borderId="6" xfId="1" applyFont="1" applyFill="1" applyBorder="1" applyAlignment="1">
      <alignment horizontal="right"/>
    </xf>
    <xf numFmtId="44" fontId="16" fillId="21" borderId="11" xfId="1" applyFont="1" applyFill="1" applyBorder="1" applyAlignment="1">
      <alignment horizontal="right"/>
    </xf>
    <xf numFmtId="9" fontId="3" fillId="12" borderId="10" xfId="0" applyNumberFormat="1" applyFont="1" applyFill="1" applyBorder="1"/>
    <xf numFmtId="0" fontId="16" fillId="22" borderId="6" xfId="0" applyFont="1" applyFill="1" applyBorder="1"/>
    <xf numFmtId="0" fontId="18" fillId="0" borderId="6" xfId="0" applyFont="1" applyBorder="1"/>
    <xf numFmtId="10" fontId="2" fillId="0" borderId="6" xfId="0" applyNumberFormat="1" applyFont="1" applyBorder="1"/>
    <xf numFmtId="3" fontId="3" fillId="0" borderId="0" xfId="0" applyNumberFormat="1" applyFont="1"/>
    <xf numFmtId="8" fontId="16" fillId="2" borderId="6" xfId="1" applyNumberFormat="1" applyFont="1" applyFill="1" applyBorder="1" applyAlignment="1">
      <alignment horizontal="right"/>
    </xf>
    <xf numFmtId="0" fontId="0" fillId="0" borderId="12" xfId="0" applyBorder="1"/>
    <xf numFmtId="0" fontId="11" fillId="0" borderId="13" xfId="0" applyFont="1" applyBorder="1" applyAlignment="1">
      <alignment horizontal="center" vertical="center"/>
    </xf>
    <xf numFmtId="0" fontId="0" fillId="0" borderId="14" xfId="0" applyBorder="1"/>
    <xf numFmtId="0" fontId="11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11" fillId="0" borderId="14" xfId="0" applyFont="1" applyBorder="1"/>
    <xf numFmtId="0" fontId="11" fillId="23" borderId="10" xfId="0" applyFont="1" applyFill="1" applyBorder="1" applyAlignment="1">
      <alignment horizontal="center" vertical="center"/>
    </xf>
    <xf numFmtId="0" fontId="5" fillId="20" borderId="6" xfId="0" applyFont="1" applyFill="1" applyBorder="1"/>
    <xf numFmtId="0" fontId="0" fillId="12" borderId="6" xfId="0" applyFill="1" applyBorder="1"/>
    <xf numFmtId="0" fontId="0" fillId="0" borderId="6" xfId="0" applyBorder="1"/>
    <xf numFmtId="3" fontId="0" fillId="0" borderId="0" xfId="0" applyNumberFormat="1"/>
    <xf numFmtId="0" fontId="3" fillId="0" borderId="13" xfId="0" applyFont="1" applyBorder="1"/>
    <xf numFmtId="168" fontId="0" fillId="12" borderId="6" xfId="2" applyNumberFormat="1" applyFont="1" applyFill="1" applyBorder="1"/>
    <xf numFmtId="1" fontId="0" fillId="0" borderId="0" xfId="0" applyNumberFormat="1"/>
    <xf numFmtId="7" fontId="17" fillId="22" borderId="6" xfId="1" applyNumberFormat="1" applyFont="1" applyFill="1" applyBorder="1" applyAlignment="1">
      <alignment horizontal="right"/>
    </xf>
    <xf numFmtId="169" fontId="0" fillId="0" borderId="0" xfId="0" applyNumberFormat="1"/>
    <xf numFmtId="168" fontId="0" fillId="0" borderId="0" xfId="2" applyNumberFormat="1" applyFont="1"/>
    <xf numFmtId="0" fontId="4" fillId="12" borderId="6" xfId="0" applyFont="1" applyFill="1" applyBorder="1"/>
    <xf numFmtId="7" fontId="17" fillId="22" borderId="6" xfId="1" applyNumberFormat="1" applyFont="1" applyFill="1" applyBorder="1" applyAlignment="1">
      <alignment horizontal="center"/>
    </xf>
    <xf numFmtId="0" fontId="17" fillId="14" borderId="6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7" fontId="0" fillId="0" borderId="0" xfId="0" applyNumberFormat="1"/>
    <xf numFmtId="0" fontId="14" fillId="12" borderId="12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16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</cellXfs>
  <cellStyles count="4">
    <cellStyle name="Moeda" xfId="1" builtinId="4"/>
    <cellStyle name="Normal" xfId="0" builtinId="0"/>
    <cellStyle name="Normal 2" xfId="3" xr:uid="{00000000-0005-0000-0000-000002000000}"/>
    <cellStyle name="Porcentagem" xfId="2" builtinId="5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Anális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Análise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5"/>
  <sheetViews>
    <sheetView tabSelected="1" topLeftCell="A15" zoomScale="85" zoomScaleNormal="85" workbookViewId="0">
      <selection activeCell="B48" sqref="B48"/>
    </sheetView>
  </sheetViews>
  <sheetFormatPr defaultColWidth="11.08203125" defaultRowHeight="15" customHeight="1"/>
  <cols>
    <col min="1" max="1" width="37" customWidth="1"/>
    <col min="2" max="2" width="24.33203125" customWidth="1"/>
    <col min="3" max="3" width="15.1640625" customWidth="1"/>
    <col min="4" max="4" width="17.58203125" customWidth="1"/>
    <col min="5" max="5" width="17.08203125" customWidth="1"/>
    <col min="6" max="8" width="13" customWidth="1"/>
    <col min="9" max="14" width="11.08203125" customWidth="1"/>
    <col min="15" max="15" width="14.58203125" customWidth="1"/>
    <col min="16" max="20" width="11.08203125" customWidth="1"/>
    <col min="22" max="22" width="11.4140625" customWidth="1"/>
    <col min="25" max="25" width="24.4140625" customWidth="1"/>
    <col min="26" max="27" width="13.33203125" bestFit="1" customWidth="1"/>
    <col min="29" max="29" width="5" customWidth="1"/>
    <col min="33" max="33" width="31.5" customWidth="1"/>
  </cols>
  <sheetData>
    <row r="1" spans="1:33" ht="15" customHeight="1">
      <c r="A1" s="143" t="s">
        <v>0</v>
      </c>
      <c r="B1" s="144"/>
      <c r="C1" s="1"/>
      <c r="D1" s="94" t="s">
        <v>164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26</v>
      </c>
      <c r="V1" s="1"/>
    </row>
    <row r="2" spans="1:33" ht="16" thickBot="1">
      <c r="A2" s="97" t="s">
        <v>1</v>
      </c>
      <c r="B2" s="118">
        <f>F3</f>
        <v>5871.08</v>
      </c>
      <c r="C2" s="95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1"/>
      <c r="O2" s="1"/>
      <c r="P2" s="1"/>
      <c r="Q2" s="1"/>
      <c r="R2" s="1"/>
      <c r="S2" s="1"/>
      <c r="T2" s="1"/>
      <c r="U2" s="41" t="s">
        <v>25</v>
      </c>
      <c r="V2" s="41" t="s">
        <v>57</v>
      </c>
      <c r="W2" s="41" t="s">
        <v>56</v>
      </c>
      <c r="X2" s="41" t="s">
        <v>55</v>
      </c>
      <c r="Y2" s="41" t="s">
        <v>54</v>
      </c>
      <c r="Z2" s="64" t="s">
        <v>147</v>
      </c>
      <c r="AA2" s="64" t="s">
        <v>146</v>
      </c>
      <c r="AC2" s="44" t="s">
        <v>25</v>
      </c>
      <c r="AD2" s="44" t="s">
        <v>64</v>
      </c>
      <c r="AE2" s="44" t="s">
        <v>65</v>
      </c>
      <c r="AF2" s="44" t="s">
        <v>66</v>
      </c>
      <c r="AG2" s="44" t="s">
        <v>67</v>
      </c>
    </row>
    <row r="3" spans="1:33" ht="15.5">
      <c r="A3" s="98" t="s">
        <v>12</v>
      </c>
      <c r="B3" s="99">
        <v>1000</v>
      </c>
      <c r="C3" s="83"/>
      <c r="D3" s="22" t="s">
        <v>37</v>
      </c>
      <c r="E3" s="31">
        <v>3.72</v>
      </c>
      <c r="F3" s="32">
        <v>5871.08</v>
      </c>
      <c r="G3" s="31">
        <v>2.74</v>
      </c>
      <c r="H3" s="30">
        <v>6</v>
      </c>
      <c r="I3" s="30">
        <v>590</v>
      </c>
      <c r="J3" s="22" t="s">
        <v>38</v>
      </c>
      <c r="K3" s="30" t="s">
        <v>36</v>
      </c>
      <c r="L3" s="33">
        <v>4807.1000000000004</v>
      </c>
      <c r="M3" s="34">
        <f>L3/12</f>
        <v>400.5916666666667</v>
      </c>
      <c r="O3" s="1"/>
      <c r="P3" s="1"/>
      <c r="Q3" s="1"/>
      <c r="R3" s="1"/>
      <c r="S3" s="1"/>
      <c r="T3" s="1"/>
      <c r="U3" s="39">
        <v>2026</v>
      </c>
      <c r="V3" s="69">
        <v>1.1979</v>
      </c>
      <c r="W3" s="69">
        <v>0.22389999999999999</v>
      </c>
      <c r="X3" s="40" t="s">
        <v>53</v>
      </c>
      <c r="Y3" s="69">
        <v>1.1039000000000001</v>
      </c>
      <c r="Z3" s="74">
        <f>Y3*$B$35*12</f>
        <v>5306.5576900000005</v>
      </c>
      <c r="AA3" s="74">
        <f ca="1">V3*$D$35*12</f>
        <v>5619.5792040218748</v>
      </c>
      <c r="AC3" s="45" t="s">
        <v>68</v>
      </c>
      <c r="AD3" s="45" t="s">
        <v>69</v>
      </c>
      <c r="AE3" s="45" t="s">
        <v>70</v>
      </c>
      <c r="AF3" s="45" t="s">
        <v>70</v>
      </c>
      <c r="AG3" s="45" t="s">
        <v>71</v>
      </c>
    </row>
    <row r="4" spans="1:33" ht="15.5">
      <c r="A4" s="98" t="s">
        <v>13</v>
      </c>
      <c r="B4" s="99">
        <v>1300</v>
      </c>
      <c r="C4" s="83"/>
      <c r="D4" s="26" t="s">
        <v>35</v>
      </c>
      <c r="E4" s="27">
        <f>H4*I4/1000</f>
        <v>7.44</v>
      </c>
      <c r="F4" s="28"/>
      <c r="G4" s="25">
        <f>F4/(E4*1000)</f>
        <v>0</v>
      </c>
      <c r="H4" s="27">
        <v>12</v>
      </c>
      <c r="I4" s="27">
        <v>620</v>
      </c>
      <c r="J4" s="23" t="s">
        <v>38</v>
      </c>
      <c r="K4" s="27" t="s">
        <v>36</v>
      </c>
      <c r="L4" s="24">
        <v>8879.2999999999993</v>
      </c>
      <c r="M4" s="29">
        <f>L4/12</f>
        <v>739.94166666666661</v>
      </c>
      <c r="O4" s="1"/>
      <c r="P4" s="1"/>
      <c r="Q4" s="8" t="s">
        <v>60</v>
      </c>
      <c r="S4" s="8" t="s">
        <v>26</v>
      </c>
      <c r="T4" s="1"/>
      <c r="U4" s="37">
        <v>2027</v>
      </c>
      <c r="V4" s="70">
        <v>1.3057000000000001</v>
      </c>
      <c r="W4" s="70">
        <v>0.24410000000000001</v>
      </c>
      <c r="X4" s="38" t="s">
        <v>53</v>
      </c>
      <c r="Y4" s="70">
        <v>1.1775</v>
      </c>
      <c r="Z4" s="75">
        <f t="shared" ref="Z4:Z28" si="0">Y4*$B$35*12+Z3</f>
        <v>10966.917940000001</v>
      </c>
      <c r="AA4" s="75">
        <f t="shared" ref="AA4:AA28" ca="1" si="1">$B$35*V4*12+AA3</f>
        <v>11896.209674021877</v>
      </c>
      <c r="AC4" s="46" t="s">
        <v>72</v>
      </c>
      <c r="AD4" s="46" t="s">
        <v>73</v>
      </c>
      <c r="AE4" s="46" t="s">
        <v>74</v>
      </c>
      <c r="AF4" s="46" t="s">
        <v>74</v>
      </c>
      <c r="AG4" s="46" t="s">
        <v>75</v>
      </c>
    </row>
    <row r="5" spans="1:33" ht="15.5">
      <c r="A5" s="100" t="s">
        <v>14</v>
      </c>
      <c r="B5" s="101"/>
      <c r="C5" s="83"/>
      <c r="D5" s="26" t="s">
        <v>39</v>
      </c>
      <c r="E5" s="27">
        <f t="shared" ref="E5:E6" si="2">H5*I5/1000</f>
        <v>7.44</v>
      </c>
      <c r="F5" s="28"/>
      <c r="G5" s="25">
        <f>F5/(E5*1000)</f>
        <v>0</v>
      </c>
      <c r="H5" s="27">
        <v>12</v>
      </c>
      <c r="I5" s="27">
        <v>620</v>
      </c>
      <c r="J5" s="23" t="s">
        <v>38</v>
      </c>
      <c r="K5" s="27" t="s">
        <v>36</v>
      </c>
      <c r="L5" s="24">
        <v>8879.2999999999993</v>
      </c>
      <c r="M5" s="29">
        <f t="shared" ref="M5:M6" si="3">L5/12</f>
        <v>739.94166666666661</v>
      </c>
      <c r="O5" s="1"/>
      <c r="P5" s="1"/>
      <c r="Q5" s="1"/>
      <c r="R5" s="1"/>
      <c r="S5" s="8" t="s">
        <v>61</v>
      </c>
      <c r="T5" s="1"/>
      <c r="U5" s="39">
        <v>2028</v>
      </c>
      <c r="V5" s="69">
        <v>1.4232</v>
      </c>
      <c r="W5" s="69">
        <v>0.26600000000000001</v>
      </c>
      <c r="X5" s="40" t="s">
        <v>53</v>
      </c>
      <c r="Y5" s="69">
        <v>1.2556</v>
      </c>
      <c r="Z5" s="74">
        <f t="shared" si="0"/>
        <v>17002.712700000004</v>
      </c>
      <c r="AA5" s="74">
        <f t="shared" ca="1" si="1"/>
        <v>18737.674394021877</v>
      </c>
      <c r="AC5" s="45" t="s">
        <v>76</v>
      </c>
      <c r="AD5" s="45" t="s">
        <v>77</v>
      </c>
      <c r="AE5" s="45" t="s">
        <v>78</v>
      </c>
      <c r="AF5" s="45" t="s">
        <v>79</v>
      </c>
      <c r="AG5" s="45" t="s">
        <v>80</v>
      </c>
    </row>
    <row r="6" spans="1:33" ht="15.5">
      <c r="A6" s="102" t="s">
        <v>16</v>
      </c>
      <c r="B6" s="103"/>
      <c r="C6" s="83"/>
      <c r="D6" s="26" t="s">
        <v>40</v>
      </c>
      <c r="E6" s="27">
        <f t="shared" si="2"/>
        <v>7.44</v>
      </c>
      <c r="F6" s="28"/>
      <c r="G6" s="13">
        <f t="shared" ref="G6" si="4">F6/(E6*1000)</f>
        <v>0</v>
      </c>
      <c r="H6" s="27">
        <v>12</v>
      </c>
      <c r="I6" s="27">
        <v>620</v>
      </c>
      <c r="J6" s="23" t="s">
        <v>38</v>
      </c>
      <c r="K6" s="27" t="s">
        <v>36</v>
      </c>
      <c r="L6" s="24">
        <v>8879.2999999999993</v>
      </c>
      <c r="M6" s="29">
        <f t="shared" si="3"/>
        <v>739.94166666666661</v>
      </c>
      <c r="O6" s="1"/>
      <c r="P6" s="1"/>
      <c r="Q6" s="1"/>
      <c r="R6" s="1"/>
      <c r="S6" s="8" t="s">
        <v>62</v>
      </c>
      <c r="T6" s="1"/>
      <c r="U6" s="37">
        <v>2029</v>
      </c>
      <c r="V6" s="70">
        <v>1.5512999999999999</v>
      </c>
      <c r="W6" s="70">
        <v>0.28999999999999998</v>
      </c>
      <c r="X6" s="38" t="s">
        <v>53</v>
      </c>
      <c r="Y6" s="70">
        <v>1.3686</v>
      </c>
      <c r="Z6" s="75">
        <f t="shared" si="0"/>
        <v>23581.709760000005</v>
      </c>
      <c r="AA6" s="75">
        <f t="shared" ca="1" si="1"/>
        <v>26194.928624021875</v>
      </c>
      <c r="AC6" s="46" t="s">
        <v>81</v>
      </c>
      <c r="AD6" s="46" t="s">
        <v>82</v>
      </c>
      <c r="AE6" s="46" t="s">
        <v>78</v>
      </c>
      <c r="AF6" s="46" t="s">
        <v>83</v>
      </c>
      <c r="AG6" s="46"/>
    </row>
    <row r="7" spans="1:33" ht="15.5">
      <c r="A7" s="102" t="s">
        <v>19</v>
      </c>
      <c r="B7" s="103"/>
      <c r="C7" s="83"/>
      <c r="D7" s="16"/>
      <c r="E7" s="17"/>
      <c r="F7" s="18"/>
      <c r="G7" s="19"/>
      <c r="H7" s="17"/>
      <c r="I7" s="17"/>
      <c r="J7" s="23" t="s">
        <v>38</v>
      </c>
      <c r="K7" s="17"/>
      <c r="L7" s="20"/>
      <c r="M7" s="21"/>
      <c r="O7" s="1"/>
      <c r="P7" s="1"/>
      <c r="R7" s="1"/>
      <c r="S7" s="1"/>
      <c r="T7" s="1"/>
      <c r="U7" s="39">
        <v>2030</v>
      </c>
      <c r="V7" s="69">
        <v>1.6909000000000001</v>
      </c>
      <c r="W7" s="69">
        <v>0.31609999999999999</v>
      </c>
      <c r="X7" s="40" t="s">
        <v>53</v>
      </c>
      <c r="Y7" s="69">
        <v>1.4918</v>
      </c>
      <c r="Z7" s="74">
        <f t="shared" si="0"/>
        <v>30752.941540000007</v>
      </c>
      <c r="AA7" s="74">
        <f t="shared" ca="1" si="1"/>
        <v>34323.254014021877</v>
      </c>
      <c r="AC7" s="45" t="s">
        <v>84</v>
      </c>
      <c r="AD7" s="50">
        <v>0.96350000000000002</v>
      </c>
      <c r="AE7" s="52">
        <v>5.4999999999999997E-3</v>
      </c>
      <c r="AF7" s="50">
        <v>3.6499999999999998E-2</v>
      </c>
      <c r="AG7" s="45"/>
    </row>
    <row r="8" spans="1:33" ht="15.5">
      <c r="A8" s="102" t="s">
        <v>20</v>
      </c>
      <c r="B8" s="103"/>
      <c r="C8" s="96"/>
      <c r="D8" s="9"/>
      <c r="E8" s="1"/>
      <c r="F8" s="1"/>
      <c r="G8" s="1"/>
      <c r="H8" s="11"/>
      <c r="I8" s="1"/>
      <c r="J8" s="1"/>
      <c r="K8" s="1"/>
      <c r="L8" s="1"/>
      <c r="M8" s="1"/>
      <c r="O8" s="1"/>
      <c r="P8" s="1"/>
      <c r="Q8" s="1" t="s">
        <v>141</v>
      </c>
      <c r="R8" s="1" t="s">
        <v>142</v>
      </c>
      <c r="S8" s="1" t="s">
        <v>144</v>
      </c>
      <c r="T8" s="1"/>
      <c r="U8" s="37">
        <v>2031</v>
      </c>
      <c r="V8" s="70">
        <v>1.8431</v>
      </c>
      <c r="W8" s="70">
        <v>0.34449999999999997</v>
      </c>
      <c r="X8" s="38" t="s">
        <v>53</v>
      </c>
      <c r="Y8" s="70">
        <v>1.6261000000000001</v>
      </c>
      <c r="Z8" s="75">
        <f t="shared" si="0"/>
        <v>38569.766850000007</v>
      </c>
      <c r="AA8" s="75">
        <f t="shared" ca="1" si="1"/>
        <v>43183.220024021881</v>
      </c>
      <c r="AC8" s="46" t="s">
        <v>85</v>
      </c>
      <c r="AD8" s="51">
        <v>0.95799999999999996</v>
      </c>
      <c r="AE8" s="53">
        <v>5.4999999999999997E-3</v>
      </c>
      <c r="AF8" s="51">
        <v>4.2000000000000003E-2</v>
      </c>
      <c r="AG8" s="46"/>
    </row>
    <row r="9" spans="1:33" ht="15.5">
      <c r="A9" s="104" t="s">
        <v>34</v>
      </c>
      <c r="B9" s="105">
        <f ca="1">MAX(15%*B15*IF(OR($C$15="",$C$15=0),1,1-$C$15),1500)</f>
        <v>1813.9975786924936</v>
      </c>
      <c r="C9" s="96"/>
      <c r="E9" s="3" t="s">
        <v>15</v>
      </c>
      <c r="F9" s="3"/>
      <c r="G9" s="4">
        <f>M3</f>
        <v>400.5916666666667</v>
      </c>
      <c r="H9" s="1"/>
      <c r="I9" s="5">
        <v>3204.7</v>
      </c>
      <c r="J9" s="1"/>
      <c r="K9" s="1"/>
      <c r="N9" s="1"/>
      <c r="O9" s="1"/>
      <c r="P9" s="1"/>
      <c r="Q9" s="1"/>
      <c r="R9" s="1" t="s">
        <v>143</v>
      </c>
      <c r="S9" s="1" t="s">
        <v>145</v>
      </c>
      <c r="T9" s="1"/>
      <c r="U9" s="39">
        <v>2032</v>
      </c>
      <c r="V9" s="69">
        <v>2.0089999999999999</v>
      </c>
      <c r="W9" s="69">
        <v>0.3755</v>
      </c>
      <c r="X9" s="40" t="s">
        <v>53</v>
      </c>
      <c r="Y9" s="69">
        <v>1.7724</v>
      </c>
      <c r="Z9" s="74">
        <f t="shared" si="0"/>
        <v>47089.870890000006</v>
      </c>
      <c r="AA9" s="74">
        <f t="shared" ca="1" si="1"/>
        <v>52840.683924021883</v>
      </c>
      <c r="AC9" s="45" t="s">
        <v>86</v>
      </c>
      <c r="AD9" s="50">
        <v>0.95250000000000001</v>
      </c>
      <c r="AE9" s="52">
        <v>5.4999999999999997E-3</v>
      </c>
      <c r="AF9" s="50">
        <v>4.7500000000000001E-2</v>
      </c>
      <c r="AG9" s="45"/>
    </row>
    <row r="10" spans="1:33" ht="15.5">
      <c r="A10" s="106" t="s">
        <v>165</v>
      </c>
      <c r="B10" s="107">
        <v>150</v>
      </c>
      <c r="C10" s="83"/>
      <c r="E10" s="3" t="s">
        <v>17</v>
      </c>
      <c r="F10" s="3"/>
      <c r="G10" s="4">
        <f>E4</f>
        <v>7.44</v>
      </c>
      <c r="K10" s="1"/>
      <c r="O10" s="1"/>
      <c r="P10" s="1"/>
      <c r="Q10" s="1"/>
      <c r="T10" s="1"/>
      <c r="U10" s="37">
        <v>2033</v>
      </c>
      <c r="V10" s="70">
        <v>2.1898</v>
      </c>
      <c r="W10" s="70">
        <v>0.4093</v>
      </c>
      <c r="X10" s="38" t="s">
        <v>53</v>
      </c>
      <c r="Y10" s="70">
        <v>1.9319</v>
      </c>
      <c r="Z10" s="75">
        <f t="shared" si="0"/>
        <v>56376.707380000007</v>
      </c>
      <c r="AA10" s="75">
        <f t="shared" ca="1" si="1"/>
        <v>63367.271504021883</v>
      </c>
      <c r="AC10" s="46" t="s">
        <v>87</v>
      </c>
      <c r="AD10" s="51">
        <v>0.94699999999999995</v>
      </c>
      <c r="AE10" s="53">
        <v>5.4999999999999997E-3</v>
      </c>
      <c r="AF10" s="51">
        <v>5.2999999999999999E-2</v>
      </c>
      <c r="AG10" s="46"/>
    </row>
    <row r="11" spans="1:33" ht="15.5">
      <c r="A11" s="106" t="s">
        <v>21</v>
      </c>
      <c r="B11" s="108">
        <v>500</v>
      </c>
      <c r="C11" s="1"/>
      <c r="E11" s="3" t="s">
        <v>18</v>
      </c>
      <c r="F11" s="3"/>
      <c r="G11" s="43">
        <v>4</v>
      </c>
      <c r="K11" s="1"/>
      <c r="O11" s="11"/>
      <c r="P11" s="1"/>
      <c r="Q11" s="1"/>
      <c r="R11" s="1"/>
      <c r="S11" s="1"/>
      <c r="T11" s="1"/>
      <c r="U11" s="39">
        <v>2034</v>
      </c>
      <c r="V11" s="69">
        <v>2.3868999999999998</v>
      </c>
      <c r="W11" s="69">
        <v>0.44619999999999999</v>
      </c>
      <c r="X11" s="40" t="s">
        <v>53</v>
      </c>
      <c r="Y11" s="69">
        <v>2.1057999999999999</v>
      </c>
      <c r="Z11" s="74">
        <f t="shared" si="0"/>
        <v>66499.498560000007</v>
      </c>
      <c r="AA11" s="74">
        <f t="shared" ca="1" si="1"/>
        <v>74841.338494021882</v>
      </c>
      <c r="AC11" s="45" t="s">
        <v>88</v>
      </c>
      <c r="AD11" s="50">
        <v>0.9415</v>
      </c>
      <c r="AE11" s="52">
        <v>5.4999999999999997E-3</v>
      </c>
      <c r="AF11" s="50">
        <v>5.8500000000000003E-2</v>
      </c>
      <c r="AG11" s="45"/>
    </row>
    <row r="12" spans="1:33" ht="15.5">
      <c r="A12" s="106" t="s">
        <v>134</v>
      </c>
      <c r="B12" s="108">
        <f ca="1">MAX(3%*B15*IF(OR($C$15="",$C$15=0),1,1-$C$15),600)</f>
        <v>600</v>
      </c>
      <c r="C12" s="113">
        <v>0.03</v>
      </c>
      <c r="D12" s="1"/>
      <c r="G12" s="1"/>
      <c r="K12" s="1"/>
      <c r="O12" s="1"/>
      <c r="P12" s="1"/>
      <c r="Q12" s="1"/>
      <c r="R12" s="1"/>
      <c r="S12" s="1"/>
      <c r="T12" s="1"/>
      <c r="U12" s="37">
        <v>2035</v>
      </c>
      <c r="V12" s="70">
        <v>2.6017000000000001</v>
      </c>
      <c r="W12" s="70">
        <v>0.48630000000000001</v>
      </c>
      <c r="X12" s="38" t="s">
        <v>53</v>
      </c>
      <c r="Y12" s="70">
        <v>2.2953000000000001</v>
      </c>
      <c r="Z12" s="75">
        <f t="shared" si="0"/>
        <v>77533.235190000007</v>
      </c>
      <c r="AA12" s="75">
        <f t="shared" ca="1" si="1"/>
        <v>87347.970564021874</v>
      </c>
      <c r="AC12" s="46" t="s">
        <v>89</v>
      </c>
      <c r="AD12" s="51">
        <v>0.93600000000000005</v>
      </c>
      <c r="AE12" s="53">
        <v>5.4999999999999997E-3</v>
      </c>
      <c r="AF12" s="51">
        <v>6.4000000000000001E-2</v>
      </c>
      <c r="AG12" s="46"/>
    </row>
    <row r="13" spans="1:33" ht="15.5">
      <c r="A13" s="106" t="s">
        <v>135</v>
      </c>
      <c r="B13" s="108">
        <f ca="1">IF(C13="",0,C13*B15)</f>
        <v>0</v>
      </c>
      <c r="C13" s="113">
        <v>0</v>
      </c>
      <c r="D13" s="1"/>
      <c r="E13" s="77"/>
      <c r="G13" s="1"/>
      <c r="H13" s="1"/>
      <c r="I13" s="1"/>
      <c r="J13" s="1"/>
      <c r="K13" s="1"/>
      <c r="O13" s="1"/>
      <c r="P13" s="1"/>
      <c r="Q13" s="1"/>
      <c r="T13" s="1"/>
      <c r="U13" s="39">
        <v>2036</v>
      </c>
      <c r="V13" s="69">
        <v>2.8359000000000001</v>
      </c>
      <c r="W13" s="69">
        <v>0.53010000000000002</v>
      </c>
      <c r="X13" s="40" t="s">
        <v>53</v>
      </c>
      <c r="Y13" s="69">
        <v>2.5019</v>
      </c>
      <c r="Z13" s="74">
        <f t="shared" si="0"/>
        <v>89560.118680000014</v>
      </c>
      <c r="AA13" s="74">
        <f t="shared" ca="1" si="1"/>
        <v>100980.42545402187</v>
      </c>
      <c r="AC13" s="45" t="s">
        <v>90</v>
      </c>
      <c r="AD13" s="50">
        <v>0.93049999999999999</v>
      </c>
      <c r="AE13" s="52">
        <v>5.4999999999999997E-3</v>
      </c>
      <c r="AF13" s="50">
        <v>6.9500000000000006E-2</v>
      </c>
      <c r="AG13" s="45"/>
    </row>
    <row r="14" spans="1:33" ht="17">
      <c r="A14" s="109" t="s">
        <v>22</v>
      </c>
      <c r="B14" s="112">
        <f ca="1">16%*SUM(B3:B13)</f>
        <v>858.23961259079897</v>
      </c>
      <c r="C14" s="115" t="s">
        <v>166</v>
      </c>
      <c r="D14" s="1"/>
      <c r="G14" s="1"/>
      <c r="H14" s="1"/>
      <c r="I14" s="1"/>
      <c r="J14" s="1"/>
      <c r="K14" s="1"/>
      <c r="L14" s="1"/>
      <c r="M14" s="1"/>
      <c r="O14" s="1"/>
      <c r="P14" s="1"/>
      <c r="Q14" s="1" t="s">
        <v>130</v>
      </c>
      <c r="R14" s="78" t="str">
        <f>IF(B19="João Victor Bagetti Fuchs","(54) 98110 8228",IF(B19="Daniel Rotava","(54) 99646 8910",""))</f>
        <v>(54) 98110 8228</v>
      </c>
      <c r="T14" s="1"/>
      <c r="U14" s="37">
        <v>2037</v>
      </c>
      <c r="V14" s="70">
        <v>3.0911</v>
      </c>
      <c r="W14" s="70">
        <v>0.57779999999999998</v>
      </c>
      <c r="X14" s="38" t="s">
        <v>53</v>
      </c>
      <c r="Y14" s="70">
        <v>2.7271000000000001</v>
      </c>
      <c r="Z14" s="75">
        <f t="shared" si="0"/>
        <v>102669.56109000002</v>
      </c>
      <c r="AA14" s="75">
        <f t="shared" ca="1" si="1"/>
        <v>115839.65226402186</v>
      </c>
      <c r="AC14" s="46" t="s">
        <v>91</v>
      </c>
      <c r="AD14" s="51">
        <v>0.92500000000000004</v>
      </c>
      <c r="AE14" s="53">
        <v>5.4999999999999997E-3</v>
      </c>
      <c r="AF14" s="51">
        <v>7.4999999999999997E-2</v>
      </c>
      <c r="AG14" s="46"/>
    </row>
    <row r="15" spans="1:33" ht="15.5">
      <c r="A15" s="114" t="s">
        <v>23</v>
      </c>
      <c r="B15" s="133">
        <f ca="1">SUM(B2:B14)</f>
        <v>12093.317191283291</v>
      </c>
      <c r="C15" s="116">
        <v>0</v>
      </c>
      <c r="D15" s="1"/>
      <c r="G15" s="1"/>
      <c r="I15" s="1"/>
      <c r="J15" s="1"/>
      <c r="K15" s="1"/>
      <c r="N15" s="1"/>
      <c r="O15" s="1"/>
      <c r="P15" s="1"/>
      <c r="Q15" s="1" t="s">
        <v>201</v>
      </c>
      <c r="R15" s="11">
        <f ca="1">SUM(B2:B13)*1.095</f>
        <v>12302.409948668279</v>
      </c>
      <c r="S15" s="1"/>
      <c r="T15" s="1"/>
      <c r="U15" s="39">
        <v>2038</v>
      </c>
      <c r="V15" s="69">
        <v>3.3693</v>
      </c>
      <c r="W15" s="69">
        <v>0.62980000000000003</v>
      </c>
      <c r="X15" s="40" t="s">
        <v>53</v>
      </c>
      <c r="Y15" s="69">
        <v>2.9725000000000001</v>
      </c>
      <c r="Z15" s="74">
        <f t="shared" si="0"/>
        <v>116958.66584000002</v>
      </c>
      <c r="AA15" s="74">
        <f t="shared" ca="1" si="1"/>
        <v>132036.21429402186</v>
      </c>
      <c r="AC15" s="45" t="s">
        <v>92</v>
      </c>
      <c r="AD15" s="50">
        <v>0.91949999999999998</v>
      </c>
      <c r="AE15" s="52">
        <v>5.4999999999999997E-3</v>
      </c>
      <c r="AF15" s="50">
        <v>8.0500000000000002E-2</v>
      </c>
      <c r="AG15" s="45"/>
    </row>
    <row r="16" spans="1:33" ht="15.5">
      <c r="A16" s="110" t="s">
        <v>24</v>
      </c>
      <c r="B16" s="111">
        <f ca="1">B15/(G10*1000)</f>
        <v>1.6254458590434531</v>
      </c>
      <c r="C16" s="83"/>
      <c r="D16" s="1"/>
      <c r="E16" s="79" t="s">
        <v>41</v>
      </c>
      <c r="F16" s="79" t="s">
        <v>63</v>
      </c>
      <c r="G16" s="1"/>
      <c r="H16" s="1"/>
      <c r="I16" s="1"/>
      <c r="J16" s="1"/>
      <c r="K16" s="1"/>
      <c r="N16" s="1"/>
      <c r="O16" s="1"/>
      <c r="S16" s="1"/>
      <c r="T16" s="1"/>
      <c r="U16" s="37">
        <v>2039</v>
      </c>
      <c r="V16" s="70">
        <v>3.6724999999999999</v>
      </c>
      <c r="W16" s="70">
        <v>0.6865</v>
      </c>
      <c r="X16" s="38" t="s">
        <v>53</v>
      </c>
      <c r="Y16" s="70">
        <v>3.24</v>
      </c>
      <c r="Z16" s="75">
        <f t="shared" si="0"/>
        <v>132533.66984000002</v>
      </c>
      <c r="AA16" s="75">
        <f t="shared" ca="1" si="1"/>
        <v>149690.28904402186</v>
      </c>
      <c r="AC16" s="46" t="s">
        <v>93</v>
      </c>
      <c r="AD16" s="51">
        <v>0.91400000000000003</v>
      </c>
      <c r="AE16" s="53">
        <v>5.4999999999999997E-3</v>
      </c>
      <c r="AF16" s="51">
        <v>8.5999999999999993E-2</v>
      </c>
      <c r="AG16" s="46"/>
    </row>
    <row r="17" spans="1:33" ht="15.5">
      <c r="A17" s="63" t="s">
        <v>133</v>
      </c>
      <c r="B17" s="42" t="s">
        <v>26</v>
      </c>
      <c r="C17" s="1"/>
      <c r="D17" s="1"/>
      <c r="E17" s="80" t="s">
        <v>42</v>
      </c>
      <c r="F17" s="81">
        <v>1415.0250000000001</v>
      </c>
      <c r="G17" s="1"/>
      <c r="H17" s="1"/>
      <c r="I17" s="1"/>
      <c r="J17" s="1"/>
      <c r="K17" s="1"/>
      <c r="N17" s="1"/>
      <c r="O17" s="1"/>
      <c r="P17" s="1"/>
      <c r="S17" s="1"/>
      <c r="T17" s="1"/>
      <c r="U17" s="39">
        <v>2040</v>
      </c>
      <c r="V17" s="69">
        <v>4.0030000000000001</v>
      </c>
      <c r="W17" s="69">
        <v>0.74829999999999997</v>
      </c>
      <c r="X17" s="40" t="s">
        <v>53</v>
      </c>
      <c r="Y17" s="69">
        <v>3.5316000000000001</v>
      </c>
      <c r="Z17" s="74">
        <f t="shared" si="0"/>
        <v>149510.42420000001</v>
      </c>
      <c r="AA17" s="74">
        <f t="shared" ca="1" si="1"/>
        <v>168933.11034402187</v>
      </c>
      <c r="AC17" s="45" t="s">
        <v>94</v>
      </c>
      <c r="AD17" s="50">
        <v>0.90849999999999997</v>
      </c>
      <c r="AE17" s="52">
        <v>5.4999999999999997E-3</v>
      </c>
      <c r="AF17" s="50">
        <v>9.1499999999999998E-2</v>
      </c>
      <c r="AG17" s="45"/>
    </row>
    <row r="18" spans="1:33" ht="15" customHeight="1">
      <c r="A18" s="63" t="s">
        <v>123</v>
      </c>
      <c r="B18" s="84" t="s">
        <v>207</v>
      </c>
      <c r="C18" s="1"/>
      <c r="D18" s="1"/>
      <c r="E18" s="80" t="s">
        <v>168</v>
      </c>
      <c r="F18" s="81">
        <v>1200</v>
      </c>
      <c r="G18" s="1"/>
      <c r="H18" s="1"/>
      <c r="I18" s="117"/>
      <c r="J18" s="1"/>
      <c r="K18" s="1"/>
      <c r="O18" s="1"/>
      <c r="P18" s="1"/>
      <c r="T18" s="1"/>
      <c r="U18" s="37">
        <v>2041</v>
      </c>
      <c r="V18" s="70">
        <v>4.3632999999999997</v>
      </c>
      <c r="W18" s="70">
        <v>0.81559999999999999</v>
      </c>
      <c r="X18" s="38" t="s">
        <v>53</v>
      </c>
      <c r="Y18" s="70">
        <v>3.8494999999999999</v>
      </c>
      <c r="Z18" s="75">
        <f t="shared" si="0"/>
        <v>168015.35565000001</v>
      </c>
      <c r="AA18" s="75">
        <f t="shared" ca="1" si="1"/>
        <v>189907.92977402188</v>
      </c>
      <c r="AC18" s="46" t="s">
        <v>95</v>
      </c>
      <c r="AD18" s="51">
        <v>0.90300000000000002</v>
      </c>
      <c r="AE18" s="53">
        <v>5.4999999999999997E-3</v>
      </c>
      <c r="AF18" s="51">
        <v>9.7000000000000003E-2</v>
      </c>
      <c r="AG18" s="46"/>
    </row>
    <row r="19" spans="1:33" ht="15" customHeight="1">
      <c r="A19" s="59" t="s">
        <v>59</v>
      </c>
      <c r="B19" s="42" t="s">
        <v>142</v>
      </c>
      <c r="C19" s="1"/>
      <c r="D19" s="1"/>
      <c r="E19" s="80" t="s">
        <v>43</v>
      </c>
      <c r="F19" s="81">
        <v>1192.713</v>
      </c>
      <c r="G19" s="1"/>
      <c r="H19" s="1"/>
      <c r="I19" s="1"/>
      <c r="J19" s="1"/>
      <c r="K19" s="1"/>
      <c r="O19" s="1"/>
      <c r="P19" s="1"/>
      <c r="T19" s="1"/>
      <c r="U19" s="39">
        <v>2042</v>
      </c>
      <c r="V19" s="69">
        <v>4.7560000000000002</v>
      </c>
      <c r="W19" s="69">
        <v>0.88900000000000001</v>
      </c>
      <c r="X19" s="40" t="s">
        <v>53</v>
      </c>
      <c r="Y19" s="69">
        <v>4.1959</v>
      </c>
      <c r="Z19" s="74">
        <f t="shared" si="0"/>
        <v>188185.46654000002</v>
      </c>
      <c r="AA19" s="74">
        <f t="shared" ca="1" si="1"/>
        <v>212770.49737402188</v>
      </c>
      <c r="AC19" s="45" t="s">
        <v>96</v>
      </c>
      <c r="AD19" s="50">
        <v>0.89749999999999996</v>
      </c>
      <c r="AE19" s="52">
        <v>5.4999999999999997E-3</v>
      </c>
      <c r="AF19" s="50">
        <v>0.10249999999999999</v>
      </c>
      <c r="AG19" s="45"/>
    </row>
    <row r="20" spans="1:33" ht="15" customHeight="1">
      <c r="A20" s="63" t="s">
        <v>124</v>
      </c>
      <c r="B20" s="84" t="s">
        <v>208</v>
      </c>
      <c r="C20" s="1"/>
      <c r="D20" s="1"/>
      <c r="E20" s="80" t="s">
        <v>44</v>
      </c>
      <c r="F20" s="81">
        <v>967.85</v>
      </c>
      <c r="G20" s="1"/>
      <c r="H20" s="1"/>
      <c r="I20" s="1"/>
      <c r="J20" s="1"/>
      <c r="K20" s="1"/>
      <c r="O20" s="1"/>
      <c r="P20" s="1"/>
      <c r="T20" s="1"/>
      <c r="U20" s="37">
        <v>2043</v>
      </c>
      <c r="V20" s="70">
        <v>5.1840000000000002</v>
      </c>
      <c r="W20" s="70">
        <v>0.96899999999999997</v>
      </c>
      <c r="X20" s="38" t="s">
        <v>53</v>
      </c>
      <c r="Y20" s="70">
        <v>4.5735000000000001</v>
      </c>
      <c r="Z20" s="75">
        <f t="shared" si="0"/>
        <v>210170.73839000001</v>
      </c>
      <c r="AA20" s="75">
        <f t="shared" ca="1" si="1"/>
        <v>237690.5037740219</v>
      </c>
      <c r="AC20" s="46" t="s">
        <v>97</v>
      </c>
      <c r="AD20" s="51">
        <v>0.89200000000000002</v>
      </c>
      <c r="AE20" s="53">
        <v>5.4999999999999997E-3</v>
      </c>
      <c r="AF20" s="51">
        <v>0.108</v>
      </c>
      <c r="AG20" s="46"/>
    </row>
    <row r="21" spans="1:33" ht="15" customHeight="1">
      <c r="A21" s="63" t="s">
        <v>189</v>
      </c>
      <c r="B21" s="127">
        <v>15</v>
      </c>
      <c r="C21" s="1"/>
      <c r="E21" s="80" t="s">
        <v>45</v>
      </c>
      <c r="F21" s="81">
        <v>780.43299999999999</v>
      </c>
      <c r="G21" s="1"/>
      <c r="H21" s="6"/>
      <c r="I21" s="1"/>
      <c r="J21" s="1"/>
      <c r="K21" s="1"/>
      <c r="N21" s="1"/>
      <c r="O21" s="1"/>
      <c r="P21" s="1"/>
      <c r="Q21" s="1"/>
      <c r="R21" s="1"/>
      <c r="S21" s="1"/>
      <c r="T21" s="1"/>
      <c r="U21" s="39">
        <v>2044</v>
      </c>
      <c r="V21" s="69">
        <v>5.6505999999999998</v>
      </c>
      <c r="W21" s="69">
        <v>1.0562</v>
      </c>
      <c r="X21" s="40" t="s">
        <v>53</v>
      </c>
      <c r="Y21" s="69">
        <v>4.9851999999999999</v>
      </c>
      <c r="Z21" s="74">
        <f t="shared" si="0"/>
        <v>234135.09331000003</v>
      </c>
      <c r="AA21" s="74">
        <f t="shared" ca="1" si="1"/>
        <v>264853.50303402188</v>
      </c>
      <c r="AC21" s="45" t="s">
        <v>98</v>
      </c>
      <c r="AD21" s="50">
        <v>0.88649999999999995</v>
      </c>
      <c r="AE21" s="52">
        <v>5.4999999999999997E-3</v>
      </c>
      <c r="AF21" s="50">
        <v>0.1135</v>
      </c>
      <c r="AG21" s="45"/>
    </row>
    <row r="22" spans="1:33" ht="15" customHeight="1">
      <c r="A22" s="63" t="s">
        <v>191</v>
      </c>
      <c r="B22" s="131">
        <v>0.875</v>
      </c>
      <c r="D22" s="1"/>
      <c r="E22" s="80" t="s">
        <v>46</v>
      </c>
      <c r="F22" s="81">
        <v>638.11</v>
      </c>
      <c r="G22" s="1"/>
      <c r="H22" s="1"/>
      <c r="I22" s="1"/>
      <c r="J22" s="1"/>
      <c r="K22" s="1"/>
      <c r="N22" s="1"/>
      <c r="O22" s="1"/>
      <c r="P22" s="1"/>
      <c r="Q22" s="1"/>
      <c r="R22" s="1"/>
      <c r="S22" s="1"/>
      <c r="T22" s="1"/>
      <c r="U22" s="37">
        <v>2045</v>
      </c>
      <c r="V22" s="70">
        <v>6.1592000000000002</v>
      </c>
      <c r="W22" s="70">
        <v>1.1513</v>
      </c>
      <c r="X22" s="38" t="s">
        <v>53</v>
      </c>
      <c r="Y22" s="70">
        <v>5.4339000000000004</v>
      </c>
      <c r="Z22" s="75">
        <f t="shared" si="0"/>
        <v>260256.39400000003</v>
      </c>
      <c r="AA22" s="75">
        <f t="shared" ca="1" si="1"/>
        <v>294461.39335402189</v>
      </c>
      <c r="AC22" s="46" t="s">
        <v>99</v>
      </c>
      <c r="AD22" s="51">
        <v>0.88100000000000001</v>
      </c>
      <c r="AE22" s="53">
        <v>5.4999999999999997E-3</v>
      </c>
      <c r="AF22" s="51">
        <v>0.11899999999999999</v>
      </c>
      <c r="AG22" s="46"/>
    </row>
    <row r="23" spans="1:33" ht="15" customHeight="1">
      <c r="A23" s="130" t="s">
        <v>197</v>
      </c>
      <c r="B23" s="127">
        <v>30</v>
      </c>
      <c r="C23" s="1"/>
      <c r="E23" s="80" t="s">
        <v>47</v>
      </c>
      <c r="F23" s="81">
        <v>747.71400000000006</v>
      </c>
      <c r="G23" s="5"/>
      <c r="H23" s="1"/>
      <c r="I23" s="1"/>
      <c r="J23" s="1"/>
      <c r="K23" s="1"/>
      <c r="N23" s="1"/>
      <c r="O23" s="1"/>
      <c r="P23" s="1"/>
      <c r="Q23" s="1"/>
      <c r="R23" s="1"/>
      <c r="S23" s="1"/>
      <c r="T23" s="1"/>
      <c r="U23" s="65">
        <v>2046</v>
      </c>
      <c r="V23" s="71">
        <f>V22*1.09</f>
        <v>6.7135280000000011</v>
      </c>
      <c r="W23" s="71">
        <f>W22*1.09</f>
        <v>1.2549170000000001</v>
      </c>
      <c r="X23" s="72">
        <v>0.3</v>
      </c>
      <c r="Y23" s="71">
        <v>5.9229000000000003</v>
      </c>
      <c r="Z23" s="76">
        <f t="shared" si="0"/>
        <v>288728.36659000005</v>
      </c>
      <c r="AA23" s="76">
        <f t="shared" ca="1" si="1"/>
        <v>326733.9938028219</v>
      </c>
      <c r="AC23" s="66">
        <v>20</v>
      </c>
      <c r="AD23" s="67">
        <f>AD22*0.9938</f>
        <v>0.87553780000000003</v>
      </c>
      <c r="AE23" s="68">
        <v>5.4999999999999997E-3</v>
      </c>
      <c r="AF23" s="67">
        <f>AF22*AF21/AF20</f>
        <v>0.12506018518518519</v>
      </c>
      <c r="AG23" s="66"/>
    </row>
    <row r="24" spans="1:33" ht="15" customHeight="1">
      <c r="A24" s="63" t="s">
        <v>125</v>
      </c>
      <c r="B24" s="84" t="s">
        <v>126</v>
      </c>
      <c r="C24" s="1"/>
      <c r="E24" s="80" t="s">
        <v>48</v>
      </c>
      <c r="F24" s="81">
        <v>930.39</v>
      </c>
      <c r="G24" s="6"/>
      <c r="H24" s="6"/>
      <c r="I24" s="1"/>
      <c r="J24" s="1"/>
      <c r="K24" s="1"/>
      <c r="N24" s="1"/>
      <c r="O24" s="1"/>
      <c r="P24" s="1"/>
      <c r="Q24" s="1"/>
      <c r="R24" s="1"/>
      <c r="S24" s="1"/>
      <c r="T24" s="1"/>
      <c r="U24" s="37">
        <v>2047</v>
      </c>
      <c r="V24" s="70">
        <v>7.3177000000000003</v>
      </c>
      <c r="W24" s="70">
        <v>1.3677999999999999</v>
      </c>
      <c r="X24" s="38" t="s">
        <v>53</v>
      </c>
      <c r="Y24" s="70">
        <v>6.4560000000000004</v>
      </c>
      <c r="Z24" s="75">
        <f t="shared" si="0"/>
        <v>319763.00419000007</v>
      </c>
      <c r="AA24" s="75">
        <f t="shared" ca="1" si="1"/>
        <v>361910.90947282192</v>
      </c>
      <c r="AC24" s="46" t="s">
        <v>100</v>
      </c>
      <c r="AD24" s="51">
        <v>0.87</v>
      </c>
      <c r="AE24" s="53">
        <v>5.4999999999999997E-3</v>
      </c>
      <c r="AF24" s="51">
        <v>0.13</v>
      </c>
      <c r="AG24" s="46"/>
    </row>
    <row r="25" spans="1:33" ht="15" customHeight="1">
      <c r="A25" s="63" t="s">
        <v>194</v>
      </c>
      <c r="B25" s="84">
        <v>1</v>
      </c>
      <c r="C25" s="1"/>
      <c r="E25" s="80" t="s">
        <v>49</v>
      </c>
      <c r="F25" s="81">
        <v>918.95</v>
      </c>
      <c r="G25" s="14"/>
      <c r="H25" s="10"/>
      <c r="I25" s="1"/>
      <c r="J25" s="1"/>
      <c r="K25" s="1"/>
      <c r="N25" s="1"/>
      <c r="O25" s="1"/>
      <c r="P25" s="1"/>
      <c r="Q25" s="1"/>
      <c r="R25" s="1"/>
      <c r="S25" s="1"/>
      <c r="T25" s="1"/>
      <c r="U25" s="39">
        <v>2048</v>
      </c>
      <c r="V25" s="69">
        <v>7.9763000000000002</v>
      </c>
      <c r="W25" s="69">
        <v>1.4908999999999999</v>
      </c>
      <c r="X25" s="40" t="s">
        <v>53</v>
      </c>
      <c r="Y25" s="69">
        <v>7.0369999999999999</v>
      </c>
      <c r="Z25" s="74">
        <f t="shared" si="0"/>
        <v>353590.56689000007</v>
      </c>
      <c r="AA25" s="74">
        <f t="shared" ca="1" si="1"/>
        <v>400253.78120282193</v>
      </c>
      <c r="AC25" s="45" t="s">
        <v>101</v>
      </c>
      <c r="AD25" s="50">
        <v>0.86450000000000005</v>
      </c>
      <c r="AE25" s="52">
        <v>5.4999999999999997E-3</v>
      </c>
      <c r="AF25" s="50">
        <v>0.13550000000000001</v>
      </c>
      <c r="AG25" s="45"/>
    </row>
    <row r="26" spans="1:33" ht="15" customHeight="1">
      <c r="A26" s="63" t="s">
        <v>190</v>
      </c>
      <c r="B26" s="127">
        <v>10</v>
      </c>
      <c r="C26" s="1"/>
      <c r="D26" s="15"/>
      <c r="E26" s="80" t="s">
        <v>50</v>
      </c>
      <c r="F26" s="81">
        <v>1176.758</v>
      </c>
      <c r="G26" s="14"/>
      <c r="H26" s="1"/>
      <c r="I26" s="1"/>
      <c r="J26" s="1"/>
      <c r="K26" s="1"/>
      <c r="N26" s="1"/>
      <c r="O26" s="1"/>
      <c r="P26" s="1"/>
      <c r="Q26" s="1"/>
      <c r="R26" s="1"/>
      <c r="S26" s="1"/>
      <c r="T26" s="1"/>
      <c r="U26" s="37">
        <v>2049</v>
      </c>
      <c r="V26" s="70">
        <v>8.6942000000000004</v>
      </c>
      <c r="W26" s="70">
        <v>1.6251</v>
      </c>
      <c r="X26" s="38" t="s">
        <v>53</v>
      </c>
      <c r="Y26" s="70">
        <v>7.6703999999999999</v>
      </c>
      <c r="Z26" s="75">
        <f t="shared" si="0"/>
        <v>390462.94673000008</v>
      </c>
      <c r="AA26" s="75">
        <f t="shared" ca="1" si="1"/>
        <v>442047.67002282193</v>
      </c>
      <c r="AC26" s="46" t="s">
        <v>102</v>
      </c>
      <c r="AD26" s="51">
        <v>0.85899999999999999</v>
      </c>
      <c r="AE26" s="53">
        <v>5.4999999999999997E-3</v>
      </c>
      <c r="AF26" s="51">
        <v>0.14099999999999999</v>
      </c>
      <c r="AG26" s="46"/>
    </row>
    <row r="27" spans="1:33" ht="15" customHeight="1">
      <c r="A27" s="130" t="s">
        <v>195</v>
      </c>
      <c r="B27" s="127" t="s">
        <v>196</v>
      </c>
      <c r="C27" s="1"/>
      <c r="D27" s="15"/>
      <c r="E27" s="80" t="s">
        <v>51</v>
      </c>
      <c r="F27" s="81">
        <v>1368.626</v>
      </c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39">
        <v>2050</v>
      </c>
      <c r="V27" s="69">
        <v>9.4765999999999995</v>
      </c>
      <c r="W27" s="69">
        <v>1.7714000000000001</v>
      </c>
      <c r="X27" s="40" t="s">
        <v>53</v>
      </c>
      <c r="Y27" s="69">
        <v>8.3605999999999998</v>
      </c>
      <c r="Z27" s="74">
        <f t="shared" si="0"/>
        <v>430653.18699000007</v>
      </c>
      <c r="AA27" s="74">
        <f t="shared" ca="1" si="1"/>
        <v>487602.63388282195</v>
      </c>
      <c r="AC27" s="45" t="s">
        <v>103</v>
      </c>
      <c r="AD27" s="50">
        <v>0.85350000000000004</v>
      </c>
      <c r="AE27" s="52">
        <v>5.4999999999999997E-3</v>
      </c>
      <c r="AF27" s="50">
        <v>0.14649999999999999</v>
      </c>
      <c r="AG27" s="45"/>
    </row>
    <row r="28" spans="1:33" ht="15.5">
      <c r="A28" s="63" t="s">
        <v>122</v>
      </c>
      <c r="B28" s="84" t="s">
        <v>148</v>
      </c>
      <c r="C28" s="1"/>
      <c r="D28" s="6"/>
      <c r="E28" s="80" t="s">
        <v>160</v>
      </c>
      <c r="F28" s="81">
        <v>1500</v>
      </c>
      <c r="G28" s="82"/>
      <c r="H28" s="82"/>
      <c r="I28" s="82"/>
      <c r="J28" s="82"/>
      <c r="K28" s="82"/>
      <c r="L28" s="82"/>
      <c r="M28" s="82"/>
      <c r="N28" s="1"/>
      <c r="O28" s="1"/>
      <c r="P28" s="1"/>
      <c r="Q28" s="1"/>
      <c r="R28" s="1"/>
      <c r="S28" s="1"/>
      <c r="T28" s="1"/>
      <c r="U28" s="37">
        <v>2051</v>
      </c>
      <c r="V28" s="70">
        <v>10.329499999999999</v>
      </c>
      <c r="W28" s="70">
        <v>1.9308000000000001</v>
      </c>
      <c r="X28" s="38" t="s">
        <v>53</v>
      </c>
      <c r="Y28" s="70">
        <v>9.1130999999999993</v>
      </c>
      <c r="Z28" s="75">
        <f t="shared" si="0"/>
        <v>474460.77000000008</v>
      </c>
      <c r="AA28" s="75">
        <f t="shared" ca="1" si="1"/>
        <v>537257.57333282195</v>
      </c>
      <c r="AC28" s="46" t="s">
        <v>104</v>
      </c>
      <c r="AD28" s="51">
        <v>0.84799999999999998</v>
      </c>
      <c r="AE28" s="53">
        <v>5.4999999999999997E-3</v>
      </c>
      <c r="AF28" s="51">
        <v>0.152</v>
      </c>
      <c r="AG28" s="46" t="s">
        <v>107</v>
      </c>
    </row>
    <row r="29" spans="1:33" ht="17">
      <c r="A29" s="63" t="s">
        <v>188</v>
      </c>
      <c r="B29" s="136" t="s">
        <v>198</v>
      </c>
      <c r="C29" s="1"/>
      <c r="D29" s="1"/>
      <c r="E29" s="1"/>
      <c r="F29" s="7"/>
      <c r="G29" s="83"/>
      <c r="H29" s="83"/>
      <c r="I29" s="83"/>
      <c r="J29" s="83"/>
      <c r="K29" s="83"/>
      <c r="L29" s="83"/>
      <c r="M29" s="83"/>
      <c r="N29" s="82"/>
      <c r="O29" s="82"/>
      <c r="P29" s="82"/>
      <c r="Q29" s="83"/>
      <c r="R29" s="1"/>
      <c r="S29" s="1"/>
      <c r="T29" s="1"/>
      <c r="U29" s="1"/>
      <c r="V29" s="1"/>
      <c r="AC29" s="47" t="s">
        <v>108</v>
      </c>
      <c r="AD29" s="47"/>
      <c r="AE29" s="47"/>
      <c r="AF29" s="47"/>
      <c r="AG29" s="47"/>
    </row>
    <row r="30" spans="1:33" ht="17">
      <c r="A30" s="63" t="s">
        <v>167</v>
      </c>
      <c r="B30" s="128"/>
      <c r="C30" s="1"/>
      <c r="D30" s="1"/>
      <c r="E30" s="1"/>
      <c r="F30" s="7"/>
      <c r="G30" s="1"/>
      <c r="H30" s="1"/>
      <c r="I30" s="1"/>
      <c r="J30" s="1"/>
      <c r="K30" s="1"/>
      <c r="L30" s="1"/>
      <c r="M30" s="1"/>
      <c r="N30" s="83"/>
      <c r="O30" s="83"/>
      <c r="P30" s="83"/>
      <c r="Q30" s="83"/>
      <c r="R30" s="1"/>
      <c r="S30" s="1"/>
      <c r="T30" s="1"/>
      <c r="U30" s="1" t="s">
        <v>61</v>
      </c>
      <c r="V30" s="1"/>
      <c r="AC30" s="145" t="s">
        <v>109</v>
      </c>
      <c r="AD30" s="145"/>
      <c r="AE30" s="145"/>
      <c r="AF30" s="145"/>
      <c r="AG30" s="48" t="s">
        <v>105</v>
      </c>
    </row>
    <row r="31" spans="1:33" ht="17.5" thickBot="1">
      <c r="A31" s="85" t="s">
        <v>27</v>
      </c>
      <c r="B31" s="89">
        <f>G10</f>
        <v>7.44</v>
      </c>
      <c r="C31" s="83"/>
      <c r="D31" s="1"/>
      <c r="E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41" t="s">
        <v>25</v>
      </c>
      <c r="V31" s="41" t="s">
        <v>57</v>
      </c>
      <c r="W31" s="41" t="s">
        <v>56</v>
      </c>
      <c r="X31" s="41" t="s">
        <v>55</v>
      </c>
      <c r="Y31" s="41" t="s">
        <v>54</v>
      </c>
      <c r="Z31" s="64"/>
      <c r="AA31" s="64"/>
      <c r="AC31" s="146" t="s">
        <v>110</v>
      </c>
      <c r="AD31" s="146"/>
      <c r="AE31" s="146"/>
      <c r="AF31" s="146"/>
      <c r="AG31" s="49" t="s">
        <v>78</v>
      </c>
    </row>
    <row r="32" spans="1:33" ht="17">
      <c r="A32" s="85" t="s">
        <v>28</v>
      </c>
      <c r="B32" s="92">
        <f>G11</f>
        <v>4</v>
      </c>
      <c r="D32" s="86"/>
      <c r="E32" s="1"/>
      <c r="F32" s="54"/>
      <c r="G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9">
        <v>2026</v>
      </c>
      <c r="V32" s="39">
        <v>1.1979</v>
      </c>
      <c r="W32" s="69">
        <v>0.22389999999999999</v>
      </c>
      <c r="X32" s="40" t="s">
        <v>58</v>
      </c>
      <c r="Y32" s="69">
        <v>1.1576</v>
      </c>
      <c r="Z32" s="74">
        <f>Y32*$B$35*12</f>
        <v>5564.6989599999997</v>
      </c>
      <c r="AA32" s="74">
        <f ca="1">V32*$D$35*12</f>
        <v>5619.5792040218748</v>
      </c>
      <c r="AC32" s="145" t="s">
        <v>111</v>
      </c>
      <c r="AD32" s="145"/>
      <c r="AE32" s="145"/>
      <c r="AF32" s="145"/>
      <c r="AG32" s="48" t="s">
        <v>106</v>
      </c>
    </row>
    <row r="33" spans="1:33" ht="17">
      <c r="A33" s="85" t="s">
        <v>52</v>
      </c>
      <c r="B33" s="89">
        <f>B32*(1.14*2.38)+(1.14*2.38*2)</f>
        <v>16.279199999999996</v>
      </c>
      <c r="D33" s="9" t="s">
        <v>200</v>
      </c>
      <c r="E33" s="55" t="s">
        <v>114</v>
      </c>
      <c r="F33" s="7" t="s">
        <v>115</v>
      </c>
      <c r="G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37">
        <v>2027</v>
      </c>
      <c r="V33" s="37">
        <v>1.3057000000000001</v>
      </c>
      <c r="W33" s="70">
        <v>0.24410000000000001</v>
      </c>
      <c r="X33" s="38" t="s">
        <v>58</v>
      </c>
      <c r="Y33" s="70">
        <v>1.2507999999999999</v>
      </c>
      <c r="Z33" s="75">
        <f t="shared" ref="Z33:Z57" si="5">Y33*$B$35*12+Z32</f>
        <v>11577.41964</v>
      </c>
      <c r="AA33" s="75">
        <f t="shared" ref="AA33:AA57" ca="1" si="6">$B$35*V33*12+AA32</f>
        <v>11896.209674021877</v>
      </c>
      <c r="AC33" s="146" t="s">
        <v>112</v>
      </c>
      <c r="AD33" s="146"/>
      <c r="AE33" s="146"/>
      <c r="AF33" s="146"/>
      <c r="AG33" s="49" t="s">
        <v>113</v>
      </c>
    </row>
    <row r="34" spans="1:33" ht="17">
      <c r="A34" s="85" t="s">
        <v>29</v>
      </c>
      <c r="B34" s="137">
        <f ca="1">B15</f>
        <v>12093.317191283291</v>
      </c>
      <c r="C34" s="125" t="s">
        <v>199</v>
      </c>
      <c r="D34" s="133">
        <f ca="1">PMT(E34, 18, -R15, 0, 0)</f>
        <v>849.00195301007454</v>
      </c>
      <c r="E34" s="58">
        <v>2.3900000000000001E-2</v>
      </c>
      <c r="F34" s="139">
        <v>18</v>
      </c>
      <c r="G34" t="s">
        <v>202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39">
        <v>2028</v>
      </c>
      <c r="V34" s="39">
        <v>1.4232</v>
      </c>
      <c r="W34" s="69">
        <v>0.26600000000000001</v>
      </c>
      <c r="X34" s="40" t="s">
        <v>58</v>
      </c>
      <c r="Y34" s="69">
        <v>1.3513999999999999</v>
      </c>
      <c r="Z34" s="74">
        <f t="shared" si="5"/>
        <v>18073.73458</v>
      </c>
      <c r="AA34" s="74">
        <f t="shared" ca="1" si="6"/>
        <v>18737.674394021877</v>
      </c>
    </row>
    <row r="35" spans="1:33" ht="17">
      <c r="A35" s="85" t="s">
        <v>30</v>
      </c>
      <c r="B35" s="89">
        <f>G9</f>
        <v>400.5916666666667</v>
      </c>
      <c r="C35" s="125" t="s">
        <v>117</v>
      </c>
      <c r="D35" s="133">
        <f ca="1">PMT(E35,F35,-(B34+F37))</f>
        <v>390.9326880389205</v>
      </c>
      <c r="E35" s="58">
        <v>1.9E-2</v>
      </c>
      <c r="F35" s="141">
        <v>60</v>
      </c>
      <c r="G35" s="54" t="s">
        <v>161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37">
        <v>2029</v>
      </c>
      <c r="V35" s="37">
        <v>1.5512999999999999</v>
      </c>
      <c r="W35" s="70">
        <v>0.28999999999999998</v>
      </c>
      <c r="X35" s="38" t="s">
        <v>58</v>
      </c>
      <c r="Y35" s="70">
        <v>1.4730000000000001</v>
      </c>
      <c r="Z35" s="75">
        <f t="shared" si="5"/>
        <v>25154.59288</v>
      </c>
      <c r="AA35" s="75">
        <f t="shared" ca="1" si="6"/>
        <v>26194.928624021875</v>
      </c>
    </row>
    <row r="36" spans="1:33" ht="21" customHeight="1">
      <c r="A36" s="85" t="s">
        <v>163</v>
      </c>
      <c r="B36" s="89">
        <f>B35*12</f>
        <v>4807.1000000000004</v>
      </c>
      <c r="C36" s="125" t="s">
        <v>118</v>
      </c>
      <c r="D36" s="133">
        <f ca="1">PMT(E36,F35,-(B34+F37))</f>
        <v>308.89344527049997</v>
      </c>
      <c r="E36" s="58">
        <v>9.9000000000000008E-3</v>
      </c>
      <c r="F36" s="142"/>
      <c r="G36" s="54" t="s">
        <v>162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9">
        <v>2030</v>
      </c>
      <c r="V36" s="39">
        <v>1.6909000000000001</v>
      </c>
      <c r="W36" s="69">
        <v>0.31609999999999999</v>
      </c>
      <c r="X36" s="40" t="s">
        <v>58</v>
      </c>
      <c r="Y36" s="69">
        <v>1.6055999999999999</v>
      </c>
      <c r="Z36" s="74">
        <f t="shared" si="5"/>
        <v>32872.872640000001</v>
      </c>
      <c r="AA36" s="74">
        <f t="shared" ca="1" si="6"/>
        <v>34323.254014021877</v>
      </c>
    </row>
    <row r="37" spans="1:33" ht="17">
      <c r="A37" s="85" t="s">
        <v>131</v>
      </c>
      <c r="B37" s="137">
        <f>IF(B17="Residencial",Z3/12,IF(B17="Comercial",Z32/12,""))</f>
        <v>442.2131408333334</v>
      </c>
      <c r="C37" s="119"/>
      <c r="E37" s="93" t="s">
        <v>116</v>
      </c>
      <c r="F37" s="133">
        <f ca="1">B34*(0.0038+0.000082*30*F35)</f>
        <v>1830.9282227602903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7">
        <v>2031</v>
      </c>
      <c r="V37" s="37">
        <v>1.8431</v>
      </c>
      <c r="W37" s="70">
        <v>0.34449999999999997</v>
      </c>
      <c r="X37" s="38" t="s">
        <v>58</v>
      </c>
      <c r="Y37" s="70">
        <v>1.7501</v>
      </c>
      <c r="Z37" s="75">
        <f t="shared" si="5"/>
        <v>41285.778350000001</v>
      </c>
      <c r="AA37" s="75">
        <f t="shared" ca="1" si="6"/>
        <v>43183.220024021881</v>
      </c>
    </row>
    <row r="38" spans="1:33" ht="17">
      <c r="A38" s="85" t="s">
        <v>31</v>
      </c>
      <c r="B38" s="137">
        <f>IF(B17="Residencial",Z3,IF($B$17="Comercial",Z32,""))</f>
        <v>5306.5576900000005</v>
      </c>
      <c r="C38" s="12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9">
        <v>2032</v>
      </c>
      <c r="V38" s="39">
        <v>2.0089999999999999</v>
      </c>
      <c r="W38" s="69">
        <v>0.3755</v>
      </c>
      <c r="X38" s="40" t="s">
        <v>58</v>
      </c>
      <c r="Y38" s="69">
        <v>1.9076</v>
      </c>
      <c r="Z38" s="74">
        <f t="shared" si="5"/>
        <v>50455.802309999999</v>
      </c>
      <c r="AA38" s="74">
        <f t="shared" ca="1" si="6"/>
        <v>52840.683924021883</v>
      </c>
    </row>
    <row r="39" spans="1:33" ht="17">
      <c r="A39" s="85" t="s">
        <v>32</v>
      </c>
      <c r="B39" s="137">
        <f>IF(B17="Residencial",Z8*AD8,IF(B17="Comercial",Z37*AD8,""))</f>
        <v>36949.836642300004</v>
      </c>
      <c r="C39" s="121"/>
      <c r="E39" s="77"/>
      <c r="G39" s="7"/>
      <c r="H39" s="7"/>
      <c r="I39" s="7"/>
      <c r="J39" s="7"/>
      <c r="K39" s="7"/>
      <c r="L39" s="7"/>
      <c r="M39" s="7"/>
      <c r="N39" s="1"/>
      <c r="O39" s="1"/>
      <c r="P39" s="1"/>
      <c r="Q39" s="1"/>
      <c r="R39" s="1"/>
      <c r="S39" s="1"/>
      <c r="T39" s="1"/>
      <c r="U39" s="37">
        <v>2033</v>
      </c>
      <c r="V39" s="37">
        <v>2.1898</v>
      </c>
      <c r="W39" s="70">
        <v>0.4093</v>
      </c>
      <c r="X39" s="38" t="s">
        <v>58</v>
      </c>
      <c r="Y39" s="70">
        <v>2.0792999999999999</v>
      </c>
      <c r="Z39" s="75">
        <f t="shared" si="5"/>
        <v>60451.20534</v>
      </c>
      <c r="AA39" s="75">
        <f t="shared" ca="1" si="6"/>
        <v>63367.271504021883</v>
      </c>
      <c r="AE39" s="73"/>
    </row>
    <row r="40" spans="1:33" ht="17">
      <c r="A40" s="85" t="s">
        <v>33</v>
      </c>
      <c r="B40" s="137">
        <f>IF(B17="Residencial",Z13*AD13,IF(B17="Comercial",Z42*AD13,""))</f>
        <v>83335.690431740019</v>
      </c>
      <c r="C40" s="121"/>
      <c r="G40" s="7"/>
      <c r="H40" s="7"/>
      <c r="I40" s="7"/>
      <c r="J40" s="7"/>
      <c r="K40" s="7"/>
      <c r="L40" s="7"/>
      <c r="M40" s="7"/>
      <c r="N40" s="1"/>
      <c r="O40" s="1"/>
      <c r="P40" s="1"/>
      <c r="Q40" s="1"/>
      <c r="R40" s="1"/>
      <c r="S40" s="1"/>
      <c r="T40" s="1"/>
      <c r="U40" s="39">
        <v>2034</v>
      </c>
      <c r="V40" s="39">
        <v>2.3868999999999998</v>
      </c>
      <c r="W40" s="69">
        <v>0.44619999999999999</v>
      </c>
      <c r="X40" s="40" t="s">
        <v>58</v>
      </c>
      <c r="Y40" s="69">
        <v>2.2664</v>
      </c>
      <c r="Z40" s="74">
        <f t="shared" si="5"/>
        <v>71346.016780000005</v>
      </c>
      <c r="AA40" s="74">
        <f t="shared" ca="1" si="6"/>
        <v>74841.338494021882</v>
      </c>
    </row>
    <row r="41" spans="1:33" ht="17">
      <c r="A41" s="85" t="s">
        <v>132</v>
      </c>
      <c r="B41" s="137">
        <f>IF(B17="Residencial",Z28*AD28,IF(B17="Comercial",Z57*AD28,""))</f>
        <v>402342.73296000005</v>
      </c>
      <c r="C41" s="121"/>
      <c r="F41" s="1"/>
      <c r="G41" s="7"/>
      <c r="H41" s="7"/>
      <c r="I41" s="7"/>
      <c r="J41" s="7"/>
      <c r="K41" s="7"/>
      <c r="L41" s="7"/>
      <c r="M41" s="7"/>
      <c r="N41" s="1"/>
      <c r="O41" s="1"/>
      <c r="P41" s="1"/>
      <c r="Q41" s="1"/>
      <c r="R41" s="1"/>
      <c r="S41" s="1"/>
      <c r="T41" s="1"/>
      <c r="U41" s="37">
        <v>2035</v>
      </c>
      <c r="V41" s="37">
        <v>2.6017000000000001</v>
      </c>
      <c r="W41" s="70">
        <v>0.48630000000000001</v>
      </c>
      <c r="X41" s="38" t="s">
        <v>58</v>
      </c>
      <c r="Y41" s="70">
        <v>2.4704000000000002</v>
      </c>
      <c r="Z41" s="75">
        <f t="shared" si="5"/>
        <v>83221.476620000001</v>
      </c>
      <c r="AA41" s="75">
        <f t="shared" ca="1" si="6"/>
        <v>87347.970564021874</v>
      </c>
    </row>
    <row r="42" spans="1:33" ht="17">
      <c r="A42" s="126" t="s">
        <v>136</v>
      </c>
      <c r="B42" s="137">
        <f>G9*V3</f>
        <v>479.86875750000002</v>
      </c>
      <c r="C42" s="121"/>
      <c r="F42" s="1"/>
      <c r="G42" s="7"/>
      <c r="H42" s="7"/>
      <c r="I42" s="7"/>
      <c r="J42" s="7"/>
      <c r="K42" s="7"/>
      <c r="L42" s="7"/>
      <c r="M42" s="7"/>
      <c r="N42" s="1"/>
      <c r="O42" s="1"/>
      <c r="P42" s="1"/>
      <c r="Q42" s="1"/>
      <c r="R42" s="1"/>
      <c r="S42" s="1"/>
      <c r="T42" s="1"/>
      <c r="U42" s="39">
        <v>2036</v>
      </c>
      <c r="V42" s="39">
        <v>2.8359000000000001</v>
      </c>
      <c r="W42" s="69">
        <v>0.53010000000000002</v>
      </c>
      <c r="X42" s="40" t="s">
        <v>58</v>
      </c>
      <c r="Y42" s="69">
        <v>2.6928000000000001</v>
      </c>
      <c r="Z42" s="74">
        <f t="shared" si="5"/>
        <v>96166.035499999998</v>
      </c>
      <c r="AA42" s="74">
        <f t="shared" ca="1" si="6"/>
        <v>100980.42545402187</v>
      </c>
    </row>
    <row r="43" spans="1:33" ht="17">
      <c r="A43" s="85" t="s">
        <v>137</v>
      </c>
      <c r="B43" s="137">
        <f ca="1">IF($B$17="Residencial",AA3,IF($B$17="Comercial",AA32,""))</f>
        <v>5619.5792040218748</v>
      </c>
      <c r="C43" s="122"/>
      <c r="D43" s="140">
        <f>B42-B37</f>
        <v>37.655616666666617</v>
      </c>
      <c r="F43" s="1"/>
      <c r="G43" s="7"/>
      <c r="H43" s="7"/>
      <c r="I43" s="7"/>
      <c r="J43" s="7"/>
      <c r="K43" s="7"/>
      <c r="L43" s="7"/>
      <c r="M43" s="7"/>
      <c r="N43" s="1"/>
      <c r="O43" s="1"/>
      <c r="P43" s="1"/>
      <c r="Q43" s="1"/>
      <c r="R43" s="1"/>
      <c r="S43" s="1"/>
      <c r="T43" s="1"/>
      <c r="U43" s="37">
        <v>2037</v>
      </c>
      <c r="V43" s="37">
        <v>3.0911</v>
      </c>
      <c r="W43" s="70">
        <v>0.57779999999999998</v>
      </c>
      <c r="X43" s="38" t="s">
        <v>58</v>
      </c>
      <c r="Y43" s="70">
        <v>2.9350999999999998</v>
      </c>
      <c r="Z43" s="75">
        <f t="shared" si="5"/>
        <v>110275.35471</v>
      </c>
      <c r="AA43" s="75">
        <f t="shared" ca="1" si="6"/>
        <v>115839.65226402186</v>
      </c>
    </row>
    <row r="44" spans="1:33" ht="17">
      <c r="A44" s="85" t="s">
        <v>138</v>
      </c>
      <c r="B44" s="137">
        <f ca="1">IF($B$17="Residencial",AA8,IF($B$17="Comercial",AA37,""))</f>
        <v>43183.220024021881</v>
      </c>
      <c r="C44" s="121"/>
      <c r="F44" s="1"/>
      <c r="G44" s="7"/>
      <c r="H44" s="7"/>
      <c r="I44" s="7"/>
      <c r="J44" s="7"/>
      <c r="K44" s="7"/>
      <c r="L44" s="7"/>
      <c r="M44" s="7"/>
      <c r="N44" s="1"/>
      <c r="O44" s="1"/>
      <c r="P44" s="1"/>
      <c r="Q44" s="1"/>
      <c r="R44" s="1"/>
      <c r="S44" s="1"/>
      <c r="T44" s="1"/>
      <c r="U44" s="39">
        <v>2038</v>
      </c>
      <c r="V44" s="39">
        <v>3.3693</v>
      </c>
      <c r="W44" s="69">
        <v>0.62980000000000003</v>
      </c>
      <c r="X44" s="40" t="s">
        <v>58</v>
      </c>
      <c r="Y44" s="69">
        <v>3.1993</v>
      </c>
      <c r="Z44" s="74">
        <f t="shared" si="5"/>
        <v>125654.70974000001</v>
      </c>
      <c r="AA44" s="74">
        <f t="shared" ca="1" si="6"/>
        <v>132036.21429402186</v>
      </c>
    </row>
    <row r="45" spans="1:33" ht="17">
      <c r="A45" s="85" t="s">
        <v>139</v>
      </c>
      <c r="B45" s="137">
        <f ca="1">IF($B$17="Residencial",AA13,IF($B$17="Comercial",AA42,""))</f>
        <v>100980.42545402187</v>
      </c>
      <c r="C45" s="121"/>
      <c r="E45" s="7"/>
      <c r="F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7">
        <v>2039</v>
      </c>
      <c r="V45" s="37">
        <v>3.6724999999999999</v>
      </c>
      <c r="W45" s="70">
        <v>0.6865</v>
      </c>
      <c r="X45" s="38" t="s">
        <v>58</v>
      </c>
      <c r="Y45" s="70">
        <v>3.4870999999999999</v>
      </c>
      <c r="Z45" s="75">
        <f t="shared" si="5"/>
        <v>142417.54815000002</v>
      </c>
      <c r="AA45" s="75">
        <f t="shared" ca="1" si="6"/>
        <v>149690.28904402186</v>
      </c>
    </row>
    <row r="46" spans="1:33" ht="17">
      <c r="A46" s="85" t="s">
        <v>140</v>
      </c>
      <c r="B46" s="137">
        <f ca="1">IF($B$17="Residencial",AA28,IF($B$17="Comercial",AA57,""))</f>
        <v>537257.57333282195</v>
      </c>
      <c r="C46" s="122"/>
      <c r="E46" s="7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9">
        <v>2040</v>
      </c>
      <c r="V46" s="39">
        <v>4.0030000000000001</v>
      </c>
      <c r="W46" s="69">
        <v>0.74829999999999997</v>
      </c>
      <c r="X46" s="40" t="s">
        <v>58</v>
      </c>
      <c r="Y46" s="69">
        <v>3.8010000000000002</v>
      </c>
      <c r="Z46" s="74">
        <f t="shared" si="5"/>
        <v>160689.33525</v>
      </c>
      <c r="AA46" s="74">
        <f t="shared" ca="1" si="6"/>
        <v>168933.11034402187</v>
      </c>
    </row>
    <row r="47" spans="1:33" ht="17">
      <c r="A47" s="85" t="s">
        <v>121</v>
      </c>
      <c r="B47" s="138" t="str">
        <f ca="1">INT(B15/(B38+B38*0.06)*12) &amp; " meses"</f>
        <v>25 meses</v>
      </c>
      <c r="C47" s="123"/>
      <c r="E47" s="7"/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7">
        <v>2041</v>
      </c>
      <c r="V47" s="37">
        <v>4.3632999999999997</v>
      </c>
      <c r="W47" s="70">
        <v>0.81559999999999999</v>
      </c>
      <c r="X47" s="38" t="s">
        <v>58</v>
      </c>
      <c r="Y47" s="70">
        <v>4.1430999999999996</v>
      </c>
      <c r="Z47" s="75">
        <f t="shared" si="5"/>
        <v>180605.63125999999</v>
      </c>
      <c r="AA47" s="75">
        <f t="shared" ca="1" si="6"/>
        <v>189907.92977402188</v>
      </c>
    </row>
    <row r="48" spans="1:33" ht="17">
      <c r="A48" s="90" t="s">
        <v>149</v>
      </c>
      <c r="B48" s="137">
        <f>B35*0.5*W3+15+B35*0.5*0.15</f>
        <v>89.890612083333338</v>
      </c>
      <c r="C48" s="124"/>
      <c r="D48" s="7"/>
      <c r="E48" s="7"/>
      <c r="F48" s="1"/>
      <c r="G48" s="3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9">
        <v>2042</v>
      </c>
      <c r="V48" s="39">
        <v>4.7560000000000002</v>
      </c>
      <c r="W48" s="69">
        <v>0.88900000000000001</v>
      </c>
      <c r="X48" s="40" t="s">
        <v>58</v>
      </c>
      <c r="Y48" s="69">
        <v>4.516</v>
      </c>
      <c r="Z48" s="74">
        <f t="shared" si="5"/>
        <v>202314.49486000001</v>
      </c>
      <c r="AA48" s="74">
        <f t="shared" ca="1" si="6"/>
        <v>212770.49737402188</v>
      </c>
    </row>
    <row r="49" spans="1:27" ht="17">
      <c r="A49" s="91" t="s">
        <v>120</v>
      </c>
      <c r="B49" s="137">
        <f>V7*B35+35</f>
        <v>712.36044916666674</v>
      </c>
      <c r="C49" s="88"/>
      <c r="D49" s="7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7">
        <v>2043</v>
      </c>
      <c r="V49" s="37">
        <v>5.1840000000000002</v>
      </c>
      <c r="W49" s="70">
        <v>0.96899999999999997</v>
      </c>
      <c r="X49" s="38" t="s">
        <v>58</v>
      </c>
      <c r="Y49" s="70">
        <v>4.9223999999999997</v>
      </c>
      <c r="Z49" s="75">
        <f t="shared" si="5"/>
        <v>225976.9639</v>
      </c>
      <c r="AA49" s="75">
        <f t="shared" ca="1" si="6"/>
        <v>237690.5037740219</v>
      </c>
    </row>
    <row r="50" spans="1:27" ht="15.5">
      <c r="A50" s="91" t="s">
        <v>119</v>
      </c>
      <c r="B50" s="137">
        <f>B35*V13</f>
        <v>1136.0379075000001</v>
      </c>
      <c r="C50" s="87"/>
      <c r="F50" s="1"/>
      <c r="G50" s="5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9">
        <v>2044</v>
      </c>
      <c r="V50" s="39">
        <v>5.6505999999999998</v>
      </c>
      <c r="W50" s="69">
        <v>1.0562</v>
      </c>
      <c r="X50" s="40" t="s">
        <v>58</v>
      </c>
      <c r="Y50" s="69">
        <v>5.3654000000000002</v>
      </c>
      <c r="Z50" s="74">
        <f t="shared" si="5"/>
        <v>251768.97824</v>
      </c>
      <c r="AA50" s="74">
        <f t="shared" ca="1" si="6"/>
        <v>264853.50303402188</v>
      </c>
    </row>
    <row r="51" spans="1:27" ht="15.5">
      <c r="A51" s="1"/>
      <c r="B51" s="1"/>
      <c r="C51" s="87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7">
        <v>2045</v>
      </c>
      <c r="V51" s="37">
        <v>6.1592000000000002</v>
      </c>
      <c r="W51" s="70">
        <v>1.1513</v>
      </c>
      <c r="X51" s="38" t="s">
        <v>58</v>
      </c>
      <c r="Y51" s="70">
        <v>5.8483000000000001</v>
      </c>
      <c r="Z51" s="75">
        <f t="shared" si="5"/>
        <v>279882.34117000003</v>
      </c>
      <c r="AA51" s="75">
        <f t="shared" ca="1" si="6"/>
        <v>294461.39335402189</v>
      </c>
    </row>
    <row r="52" spans="1:27" ht="15.5">
      <c r="F52" s="1"/>
      <c r="G52" s="3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9">
        <v>2046</v>
      </c>
      <c r="V52" s="39">
        <f>V51*V51/V50</f>
        <v>6.7135781403744739</v>
      </c>
      <c r="W52" s="69">
        <v>1.2548999999999999</v>
      </c>
      <c r="X52" s="40" t="s">
        <v>58</v>
      </c>
      <c r="Y52" s="69">
        <v>6.3746999999999998</v>
      </c>
      <c r="Z52" s="76">
        <f t="shared" si="5"/>
        <v>310526.16154</v>
      </c>
      <c r="AA52" s="76">
        <f t="shared" ca="1" si="6"/>
        <v>326734.234832616</v>
      </c>
    </row>
    <row r="53" spans="1:27" ht="15.5"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7">
        <v>2047</v>
      </c>
      <c r="V53" s="37">
        <f>V52*V52/V51</f>
        <v>7.317854826424532</v>
      </c>
      <c r="W53" s="70">
        <v>1.3677999999999999</v>
      </c>
      <c r="X53" s="38" t="s">
        <v>58</v>
      </c>
      <c r="Y53" s="70">
        <v>6.9484000000000004</v>
      </c>
      <c r="Z53" s="75">
        <f t="shared" si="5"/>
        <v>343927.81518000003</v>
      </c>
      <c r="AA53" s="75">
        <f t="shared" ca="1" si="6"/>
        <v>361911.89476872137</v>
      </c>
    </row>
    <row r="54" spans="1:27" ht="15.5">
      <c r="F54" s="1"/>
      <c r="G54" s="5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9">
        <v>2048</v>
      </c>
      <c r="V54" s="39">
        <v>7.9763000000000002</v>
      </c>
      <c r="W54" s="69">
        <v>1.4908999999999999</v>
      </c>
      <c r="X54" s="40" t="s">
        <v>58</v>
      </c>
      <c r="Y54" s="69">
        <v>7.5738000000000003</v>
      </c>
      <c r="Z54" s="74">
        <f t="shared" si="5"/>
        <v>380335.82916000002</v>
      </c>
      <c r="AA54" s="74">
        <f t="shared" ca="1" si="6"/>
        <v>400254.76649872138</v>
      </c>
    </row>
    <row r="55" spans="1:27" ht="15.5">
      <c r="F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7">
        <v>2049</v>
      </c>
      <c r="V55" s="37">
        <v>8.6942000000000004</v>
      </c>
      <c r="W55" s="70">
        <v>1.6251</v>
      </c>
      <c r="X55" s="38" t="s">
        <v>58</v>
      </c>
      <c r="Y55" s="70">
        <v>8.2553999999999998</v>
      </c>
      <c r="Z55" s="75">
        <f t="shared" si="5"/>
        <v>420020.36250000005</v>
      </c>
      <c r="AA55" s="75">
        <f t="shared" ca="1" si="6"/>
        <v>442048.65531872137</v>
      </c>
    </row>
    <row r="56" spans="1:27" ht="15.5">
      <c r="F56" s="1"/>
      <c r="G56" s="3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9">
        <v>2050</v>
      </c>
      <c r="V56" s="39">
        <v>9.4765999999999995</v>
      </c>
      <c r="W56" s="69">
        <v>1.7714000000000001</v>
      </c>
      <c r="X56" s="40" t="s">
        <v>58</v>
      </c>
      <c r="Y56" s="69">
        <v>8.9983000000000004</v>
      </c>
      <c r="Z56" s="74">
        <f t="shared" si="5"/>
        <v>463276.09043000004</v>
      </c>
      <c r="AA56" s="74">
        <f t="shared" ca="1" si="6"/>
        <v>487603.61917872139</v>
      </c>
    </row>
    <row r="57" spans="1:27" ht="15.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7">
        <v>2051</v>
      </c>
      <c r="V57" s="37">
        <v>10.329499999999999</v>
      </c>
      <c r="W57" s="70">
        <v>1.9308000000000001</v>
      </c>
      <c r="X57" s="38" t="s">
        <v>58</v>
      </c>
      <c r="Y57" s="70">
        <v>9.8081999999999994</v>
      </c>
      <c r="Z57" s="75">
        <f t="shared" si="5"/>
        <v>510425.08865000005</v>
      </c>
      <c r="AA57" s="75">
        <f t="shared" ca="1" si="6"/>
        <v>537258.5586287214</v>
      </c>
    </row>
    <row r="58" spans="1:27" ht="15.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7" ht="15.5">
      <c r="A59" s="1"/>
      <c r="B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7" ht="15.5">
      <c r="A60" s="1"/>
      <c r="B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7" ht="15.5">
      <c r="A61" s="1"/>
      <c r="B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7" ht="15.5">
      <c r="A62" s="1"/>
      <c r="B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7" ht="15.5">
      <c r="A63" s="1"/>
      <c r="B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7" ht="15.5">
      <c r="A64" s="1"/>
      <c r="B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">
      <c r="A65" s="1"/>
      <c r="B65" s="1"/>
      <c r="C65" s="35"/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">
      <c r="A66" s="1"/>
      <c r="B66" s="1"/>
      <c r="C66" s="7"/>
      <c r="D66" s="6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5">
      <c r="A990" s="1"/>
      <c r="B990" s="1"/>
      <c r="C990" s="1"/>
      <c r="D990" s="1"/>
      <c r="E990" s="1"/>
      <c r="G990" s="1"/>
      <c r="H990" s="1"/>
      <c r="I990" s="1"/>
      <c r="J990" s="1"/>
      <c r="K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5">
      <c r="A991" s="1"/>
      <c r="B991" s="1"/>
      <c r="C991" s="1"/>
      <c r="D991" s="1"/>
      <c r="E991" s="1"/>
      <c r="G991" s="1"/>
      <c r="H991" s="1"/>
      <c r="I991" s="1"/>
      <c r="J991" s="1"/>
      <c r="K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5">
      <c r="A992" s="1"/>
      <c r="B992" s="1"/>
      <c r="C992" s="1"/>
      <c r="D992" s="1"/>
      <c r="E992" s="1"/>
      <c r="G992" s="1"/>
      <c r="H992" s="1"/>
      <c r="I992" s="1"/>
      <c r="J992" s="1"/>
      <c r="K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5">
      <c r="A993" s="1"/>
      <c r="B993" s="1"/>
      <c r="C993" s="1"/>
      <c r="D993" s="1"/>
      <c r="E993" s="1"/>
      <c r="G993" s="1"/>
      <c r="H993" s="1"/>
      <c r="I993" s="1"/>
      <c r="J993" s="1"/>
      <c r="K993" s="1"/>
      <c r="O993" s="1"/>
      <c r="P993" s="1"/>
      <c r="Q993" s="1"/>
      <c r="R993" s="1"/>
      <c r="S993" s="1"/>
      <c r="T993" s="1"/>
      <c r="U993" s="1"/>
      <c r="V993" s="1"/>
    </row>
    <row r="994" spans="1:22" ht="15.5">
      <c r="A994" s="1"/>
      <c r="B994" s="1"/>
      <c r="C994" s="1"/>
      <c r="D994" s="1"/>
      <c r="E994" s="1"/>
      <c r="G994" s="1"/>
      <c r="H994" s="1"/>
      <c r="I994" s="1"/>
      <c r="J994" s="1"/>
      <c r="K994" s="1"/>
      <c r="O994" s="1"/>
      <c r="P994" s="1"/>
      <c r="Q994" s="1"/>
      <c r="R994" s="1"/>
      <c r="S994" s="1"/>
      <c r="T994" s="1"/>
      <c r="U994" s="1"/>
      <c r="V994" s="1"/>
    </row>
    <row r="995" spans="1:22" ht="15.5">
      <c r="A995" s="1"/>
      <c r="B995" s="1"/>
      <c r="C995" s="1"/>
      <c r="D995" s="1"/>
      <c r="E995" s="1"/>
      <c r="O995" s="1"/>
      <c r="P995" s="1"/>
      <c r="Q995" s="1"/>
      <c r="R995" s="1"/>
      <c r="S995" s="1"/>
      <c r="T995" s="1"/>
      <c r="U995" s="1"/>
      <c r="V995" s="1"/>
    </row>
    <row r="996" spans="1:22" ht="15.5">
      <c r="C996" s="1"/>
      <c r="D996" s="1"/>
      <c r="E996" s="1"/>
      <c r="P996" s="1"/>
      <c r="Q996" s="1"/>
      <c r="R996" s="1"/>
      <c r="S996" s="1"/>
      <c r="T996" s="1"/>
      <c r="U996" s="1"/>
      <c r="V996" s="1"/>
    </row>
    <row r="997" spans="1:22" ht="15.5">
      <c r="C997" s="1"/>
      <c r="D997" s="1"/>
      <c r="E997" s="1"/>
      <c r="P997" s="1"/>
      <c r="Q997" s="1"/>
      <c r="R997" s="1"/>
      <c r="S997" s="1"/>
      <c r="T997" s="1"/>
      <c r="U997" s="1"/>
      <c r="V997" s="1"/>
    </row>
    <row r="998" spans="1:22" ht="15.5">
      <c r="C998" s="1"/>
      <c r="D998" s="1"/>
      <c r="E998" s="1"/>
      <c r="U998" s="1"/>
      <c r="V998" s="1"/>
    </row>
    <row r="999" spans="1:22" ht="15" customHeight="1">
      <c r="C999" s="1"/>
      <c r="D999" s="1"/>
      <c r="E999" s="1"/>
      <c r="U999" s="1"/>
      <c r="V999" s="1"/>
    </row>
    <row r="1000" spans="1:22" ht="15" customHeight="1">
      <c r="C1000" s="1"/>
      <c r="D1000" s="1"/>
      <c r="E1000" s="1"/>
      <c r="U1000" s="1"/>
      <c r="V1000" s="1"/>
    </row>
    <row r="1001" spans="1:22" ht="15" customHeight="1">
      <c r="C1001" s="1"/>
      <c r="D1001" s="1"/>
      <c r="E1001" s="1"/>
    </row>
    <row r="1002" spans="1:22" ht="15" customHeight="1">
      <c r="C1002" s="1"/>
      <c r="D1002" s="1"/>
      <c r="E1002" s="1"/>
    </row>
    <row r="1003" spans="1:22" ht="15" customHeight="1">
      <c r="C1003" s="1"/>
      <c r="D1003" s="1"/>
      <c r="E1003" s="1"/>
    </row>
    <row r="1004" spans="1:22" ht="15" customHeight="1">
      <c r="C1004" s="1"/>
      <c r="D1004" s="1"/>
      <c r="E1004" s="1"/>
    </row>
    <row r="1005" spans="1:22" ht="15" customHeight="1">
      <c r="C1005" s="1"/>
      <c r="D1005" s="1"/>
      <c r="E1005" s="1"/>
    </row>
    <row r="1006" spans="1:22" ht="15" customHeight="1">
      <c r="C1006" s="1"/>
      <c r="D1006" s="1"/>
      <c r="E1006" s="1"/>
    </row>
    <row r="1007" spans="1:22" ht="15" customHeight="1">
      <c r="C1007" s="1"/>
      <c r="D1007" s="1"/>
      <c r="E1007" s="1"/>
    </row>
    <row r="1008" spans="1:22" ht="15" customHeight="1">
      <c r="C1008" s="1"/>
      <c r="D1008" s="1"/>
      <c r="E1008" s="1"/>
    </row>
    <row r="1009" spans="3:5" ht="15" customHeight="1">
      <c r="C1009" s="1"/>
      <c r="D1009" s="1"/>
      <c r="E1009" s="1"/>
    </row>
    <row r="1010" spans="3:5" ht="15" customHeight="1">
      <c r="C1010" s="1"/>
      <c r="D1010" s="1"/>
      <c r="E1010" s="1"/>
    </row>
    <row r="1011" spans="3:5" ht="15" customHeight="1">
      <c r="C1011" s="1"/>
      <c r="D1011" s="1"/>
      <c r="E1011" s="1"/>
    </row>
    <row r="1012" spans="3:5" ht="15" customHeight="1">
      <c r="C1012" s="1"/>
      <c r="D1012" s="1"/>
      <c r="E1012" s="1"/>
    </row>
    <row r="1013" spans="3:5" ht="15" customHeight="1">
      <c r="C1013" s="1"/>
      <c r="D1013" s="1"/>
    </row>
    <row r="1014" spans="3:5" ht="15" customHeight="1">
      <c r="C1014" s="1"/>
      <c r="D1014" s="1"/>
    </row>
    <row r="1015" spans="3:5" ht="15" customHeight="1">
      <c r="C1015" s="1"/>
      <c r="D1015" s="1"/>
    </row>
  </sheetData>
  <mergeCells count="6">
    <mergeCell ref="F35:F36"/>
    <mergeCell ref="A1:B1"/>
    <mergeCell ref="AC30:AF30"/>
    <mergeCell ref="AC31:AF31"/>
    <mergeCell ref="AC32:AF32"/>
    <mergeCell ref="AC33:AF33"/>
  </mergeCells>
  <dataValidations count="2">
    <dataValidation type="list" allowBlank="1" showInputMessage="1" showErrorMessage="1" sqref="B19" xr:uid="{00000000-0002-0000-0000-000000000000}">
      <formula1>$R$8:$R$9</formula1>
    </dataValidation>
    <dataValidation type="list" allowBlank="1" showInputMessage="1" showErrorMessage="1" sqref="B17" xr:uid="{00000000-0002-0000-0000-000001000000}">
      <formula1>$S$4:$S$6</formula1>
    </dataValidation>
  </dataValidations>
  <pageMargins left="0.511811024" right="0.511811024" top="0.78740157499999996" bottom="0.78740157499999996" header="0.31496062000000002" footer="0.31496062000000002"/>
  <pageSetup paperSize="9" scale="78" fitToWidth="0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"/>
  <sheetViews>
    <sheetView topLeftCell="AA1" workbookViewId="0">
      <selection activeCell="AS2" sqref="AS2"/>
    </sheetView>
  </sheetViews>
  <sheetFormatPr defaultRowHeight="15.5"/>
  <cols>
    <col min="1" max="1" width="20.08203125" bestFit="1" customWidth="1"/>
    <col min="2" max="2" width="21.5" bestFit="1" customWidth="1"/>
    <col min="3" max="3" width="24.1640625" bestFit="1" customWidth="1"/>
    <col min="4" max="4" width="13.08203125" bestFit="1" customWidth="1"/>
    <col min="5" max="5" width="15.6640625" bestFit="1" customWidth="1"/>
    <col min="6" max="6" width="18.08203125" bestFit="1" customWidth="1"/>
    <col min="7" max="7" width="11.1640625" bestFit="1" customWidth="1"/>
    <col min="8" max="8" width="13.83203125" bestFit="1" customWidth="1"/>
    <col min="9" max="9" width="11.58203125" bestFit="1" customWidth="1"/>
    <col min="10" max="10" width="7.9140625" bestFit="1" customWidth="1"/>
    <col min="11" max="11" width="6.4140625" customWidth="1"/>
    <col min="12" max="12" width="14.33203125" bestFit="1" customWidth="1"/>
    <col min="13" max="13" width="15.58203125" bestFit="1" customWidth="1"/>
    <col min="14" max="14" width="6.75" bestFit="1" customWidth="1"/>
    <col min="15" max="15" width="6.75" customWidth="1"/>
    <col min="16" max="16" width="6.08203125" bestFit="1" customWidth="1"/>
    <col min="17" max="17" width="4.6640625" bestFit="1" customWidth="1"/>
    <col min="18" max="18" width="5.08203125" bestFit="1" customWidth="1"/>
    <col min="19" max="19" width="5.75" bestFit="1" customWidth="1"/>
    <col min="20" max="20" width="5.1640625" bestFit="1" customWidth="1"/>
    <col min="21" max="21" width="6.4140625" bestFit="1" customWidth="1"/>
    <col min="22" max="22" width="8.75" bestFit="1" customWidth="1"/>
    <col min="23" max="23" width="7.75" bestFit="1" customWidth="1"/>
    <col min="24" max="24" width="9.5" bestFit="1" customWidth="1"/>
    <col min="25" max="25" width="9.1640625" bestFit="1" customWidth="1"/>
    <col min="26" max="26" width="8.75" bestFit="1" customWidth="1"/>
    <col min="27" max="27" width="10.25" bestFit="1" customWidth="1"/>
    <col min="28" max="29" width="11.25" bestFit="1" customWidth="1"/>
    <col min="30" max="30" width="12.25" bestFit="1" customWidth="1"/>
    <col min="31" max="31" width="10.25" bestFit="1" customWidth="1"/>
    <col min="32" max="32" width="11.25" bestFit="1" customWidth="1"/>
    <col min="33" max="34" width="12.25" bestFit="1" customWidth="1"/>
    <col min="37" max="37" width="12.4140625" bestFit="1" customWidth="1"/>
  </cols>
  <sheetData>
    <row r="1" spans="1:50">
      <c r="A1" t="s">
        <v>127</v>
      </c>
      <c r="B1" t="s">
        <v>128</v>
      </c>
      <c r="C1" t="s">
        <v>129</v>
      </c>
      <c r="D1" s="61" t="s">
        <v>150</v>
      </c>
      <c r="E1" s="61" t="s">
        <v>151</v>
      </c>
      <c r="F1" s="61" t="s">
        <v>152</v>
      </c>
      <c r="G1" s="61" t="s">
        <v>153</v>
      </c>
      <c r="H1" s="61" t="s">
        <v>154</v>
      </c>
      <c r="I1" s="61" t="s">
        <v>155</v>
      </c>
      <c r="J1" s="61" t="s">
        <v>156</v>
      </c>
      <c r="K1" s="61" t="s">
        <v>157</v>
      </c>
      <c r="L1" s="61" t="s">
        <v>158</v>
      </c>
      <c r="M1" s="61" t="s">
        <v>159</v>
      </c>
      <c r="N1" t="s">
        <v>42</v>
      </c>
      <c r="O1" t="s">
        <v>168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160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203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204</v>
      </c>
      <c r="AR1" t="s">
        <v>205</v>
      </c>
      <c r="AS1" t="s">
        <v>206</v>
      </c>
      <c r="AT1" t="s">
        <v>185</v>
      </c>
      <c r="AU1" t="s">
        <v>186</v>
      </c>
      <c r="AV1" t="s">
        <v>187</v>
      </c>
      <c r="AW1" t="s">
        <v>193</v>
      </c>
      <c r="AX1" s="61" t="s">
        <v>192</v>
      </c>
    </row>
    <row r="2" spans="1:50">
      <c r="A2" s="61" t="str">
        <f>Orçamento!B18</f>
        <v>Cliente Delfos</v>
      </c>
      <c r="B2" s="62" t="str">
        <f>Orçamento!B19</f>
        <v>João Victor Bagetti Fuchs</v>
      </c>
      <c r="C2" t="str">
        <f>Orçamento!R14</f>
        <v>(54) 98110 8228</v>
      </c>
      <c r="D2" t="str">
        <f>Orçamento!B28</f>
        <v>20 de julho de 2026</v>
      </c>
      <c r="E2" t="str">
        <f>Orçamento!B20</f>
        <v>Placas fotovoltaicas Trina</v>
      </c>
      <c r="F2" t="str">
        <f>Orçamento!B24</f>
        <v>Solis</v>
      </c>
      <c r="G2" s="129">
        <f>Orçamento!B32</f>
        <v>4</v>
      </c>
      <c r="H2">
        <f>Orçamento!B25</f>
        <v>1</v>
      </c>
      <c r="I2" t="str">
        <f>Orçamento!B27</f>
        <v xml:space="preserve">Estruturas fibrocimento </v>
      </c>
      <c r="J2" s="62">
        <f>Orçamento!B31</f>
        <v>7.44</v>
      </c>
      <c r="K2" s="62">
        <f>Orçamento!B33</f>
        <v>16.279199999999996</v>
      </c>
      <c r="L2" s="62">
        <f>Orçamento!B36</f>
        <v>4807.1000000000004</v>
      </c>
      <c r="M2" s="62">
        <f>Orçamento!B35</f>
        <v>400.5916666666667</v>
      </c>
      <c r="N2" s="132">
        <f>Orçamento!F17</f>
        <v>1415.0250000000001</v>
      </c>
      <c r="O2" s="132">
        <f>Orçamento!F18</f>
        <v>1200</v>
      </c>
      <c r="P2" s="132">
        <f>Orçamento!F19</f>
        <v>1192.713</v>
      </c>
      <c r="Q2" s="132">
        <f>Orçamento!F20</f>
        <v>967.85</v>
      </c>
      <c r="R2" s="132">
        <f>Orçamento!F21</f>
        <v>780.43299999999999</v>
      </c>
      <c r="S2" s="132">
        <f>Orçamento!F22</f>
        <v>638.11</v>
      </c>
      <c r="T2" s="132">
        <f>Orçamento!F23</f>
        <v>747.71400000000006</v>
      </c>
      <c r="U2" s="132">
        <f>Orçamento!F24</f>
        <v>930.39</v>
      </c>
      <c r="V2" s="132">
        <f>Orçamento!F25</f>
        <v>918.95</v>
      </c>
      <c r="W2" s="132">
        <f>Orçamento!F26</f>
        <v>1176.758</v>
      </c>
      <c r="X2" s="132">
        <f>Orçamento!F26</f>
        <v>1176.758</v>
      </c>
      <c r="Y2" s="132">
        <f>Orçamento!F28</f>
        <v>1500</v>
      </c>
      <c r="Z2" s="134">
        <f>Orçamento!B37</f>
        <v>442.2131408333334</v>
      </c>
      <c r="AA2" s="134">
        <f>Orçamento!B38</f>
        <v>5306.5576900000005</v>
      </c>
      <c r="AB2" s="134">
        <f>Orçamento!B39</f>
        <v>36949.836642300004</v>
      </c>
      <c r="AC2" s="134">
        <f>Orçamento!B40</f>
        <v>83335.690431740019</v>
      </c>
      <c r="AD2" s="134">
        <f>Orçamento!B41</f>
        <v>402342.73296000005</v>
      </c>
      <c r="AE2" s="134">
        <f ca="1">Orçamento!B43</f>
        <v>5619.5792040218748</v>
      </c>
      <c r="AF2" s="134">
        <f ca="1">Orçamento!B44</f>
        <v>43183.220024021881</v>
      </c>
      <c r="AG2" s="134">
        <f ca="1">Orçamento!B45</f>
        <v>100980.42545402187</v>
      </c>
      <c r="AH2" s="134">
        <f ca="1">Orçamento!B46</f>
        <v>537257.57333282195</v>
      </c>
      <c r="AI2" t="str">
        <f ca="1">Orçamento!B47</f>
        <v>25 meses</v>
      </c>
      <c r="AJ2" s="140">
        <f>Orçamento!B48</f>
        <v>89.890612083333338</v>
      </c>
      <c r="AK2" s="77">
        <f ca="1">Orçamento!B15</f>
        <v>12093.317191283291</v>
      </c>
      <c r="AL2" t="str">
        <f ca="1">Orçamento!B47</f>
        <v>25 meses</v>
      </c>
      <c r="AM2" s="134">
        <f ca="1">Orçamento!D35</f>
        <v>390.9326880389205</v>
      </c>
      <c r="AN2" s="134">
        <f ca="1">Orçamento!D36</f>
        <v>308.89344527049997</v>
      </c>
      <c r="AO2" s="134">
        <f>Orçamento!B42</f>
        <v>479.86875750000002</v>
      </c>
      <c r="AP2">
        <f>Orçamento!F35</f>
        <v>60</v>
      </c>
      <c r="AQ2">
        <f>Orçamento!F34</f>
        <v>18</v>
      </c>
      <c r="AR2" s="73">
        <f>Orçamento!E34</f>
        <v>2.3900000000000001E-2</v>
      </c>
      <c r="AS2" s="140">
        <f ca="1">Orçamento!D34</f>
        <v>849.00195301007454</v>
      </c>
      <c r="AT2">
        <f>Orçamento!B21</f>
        <v>15</v>
      </c>
      <c r="AU2">
        <f>Orçamento!B26</f>
        <v>10</v>
      </c>
      <c r="AV2">
        <f>Orçamento!B23</f>
        <v>30</v>
      </c>
      <c r="AW2" s="135">
        <f>Orçamento!B22</f>
        <v>0.875</v>
      </c>
      <c r="AX2" t="str">
        <f>Orçamento!B29</f>
        <v>-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Alcione Belache</dc:creator>
  <cp:lastModifiedBy>João Victor Fuchs</cp:lastModifiedBy>
  <dcterms:created xsi:type="dcterms:W3CDTF">2013-01-28T17:23:04Z</dcterms:created>
  <dcterms:modified xsi:type="dcterms:W3CDTF">2026-07-24T14:17:40Z</dcterms:modified>
</cp:coreProperties>
</file>